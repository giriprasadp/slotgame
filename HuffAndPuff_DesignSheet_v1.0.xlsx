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7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3.xml" ContentType="application/vnd.openxmlformats-officedocument.spreadsheetml.worksheet+xml"/>
  <Override PartName="/xl/worksheets/sheet2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23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8.xml" ContentType="application/vnd.openxmlformats-officedocument.spreadsheetml.worksheet+xml"/>
  <Override PartName="/xl/worksheets/sheet2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avigation" sheetId="1" state="visible" r:id="rId3"/>
    <sheet name="Version Log" sheetId="2" state="visible" r:id="rId4"/>
    <sheet name="Gameplay Params" sheetId="3" state="visible" r:id="rId5"/>
    <sheet name="Symbols &amp; Paytable" sheetId="4" state="visible" r:id="rId6"/>
    <sheet name="Reel Strips Base" sheetId="5" state="visible" r:id="rId7"/>
    <sheet name="Reel Strips FS" sheetId="6" state="visible" r:id="rId8"/>
    <sheet name="Paylines" sheetId="7" state="visible" r:id="rId9"/>
    <sheet name="Morph Pool Base" sheetId="8" state="visible" r:id="rId10"/>
    <sheet name="Morph Pool FS" sheetId="9" state="visible" r:id="rId11"/>
    <sheet name="Golden Config" sheetId="10" state="visible" r:id="rId12"/>
    <sheet name="Bursting Wild" sheetId="11" state="visible" r:id="rId13"/>
    <sheet name="Multipliers" sheetId="12" state="visible" r:id="rId14"/>
    <sheet name="Scatter &amp; FS" sheetId="13" state="visible" r:id="rId15"/>
    <sheet name="Wheel Feature" sheetId="14" state="visible" r:id="rId16"/>
    <sheet name="Jackpot Tiers" sheetId="15" state="visible" r:id="rId17"/>
    <sheet name="Mansion Bonus" sheetId="16" state="visible" r:id="rId18"/>
    <sheet name="Buzzsaw Bonus" sheetId="17" state="visible" r:id="rId19"/>
    <sheet name="Mega Hat Bonus" sheetId="18" state="visible" r:id="rId20"/>
    <sheet name="Buy Feature" sheetId="19" state="visible" r:id="rId21"/>
    <sheet name="Bet &amp; Economy" sheetId="20" state="visible" r:id="rId22"/>
    <sheet name="Win Tiers" sheetId="21" state="visible" r:id="rId23"/>
    <sheet name="RNG Registry" sheetId="22" state="visible" r:id="rId24"/>
    <sheet name="Analytics Events" sheetId="23" state="visible" r:id="rId25"/>
    <sheet name="Sounds" sheetId="24" state="visible" r:id="rId26"/>
    <sheet name="Config Index" sheetId="25" state="visible" r:id="rId27"/>
  </sheets>
  <definedNames>
    <definedName function="false" hidden="false" name="BetDefaultLevel" vbProcedure="false">'Gameplay Params'!$D$27</definedName>
    <definedName function="false" hidden="false" name="BuyFSMult" vbProcedure="false">'Gameplay Params'!$D$28</definedName>
    <definedName function="false" hidden="false" name="BuyWheelMult" vbProcedure="false">'Gameplay Params'!$D$29</definedName>
    <definedName function="false" hidden="false" name="MultBaseMax" vbProcedure="false">'Gameplay Params'!$D$15</definedName>
    <definedName function="false" hidden="false" name="MultFSMax" vbProcedure="false">'Gameplay Params'!$D$16</definedName>
    <definedName function="false" hidden="false" name="RTPTarget" vbProcedure="false">'Gameplay Params'!$D$30</definedName>
    <definedName function="false" hidden="false" name="StartingBalance" vbProcedure="false">'Gameplay Params'!$D$24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<sst xmlns="http://schemas.openxmlformats.org/spreadsheetml/2006/main" count="2159" uniqueCount="1009">
  <si>
    <t xml:space="preserve">HUFF AND PUFF — DESIGN SHEET</t>
  </si>
  <si>
    <t xml:space="preserve">Project E_2387 · WebGL Slot Game · Unity LTS 2022.3+ · 3×5 Grid · 10 Paylines</t>
  </si>
  <si>
    <t xml:space="preserve">Version 1.0 · Status: Draft — Approved for Development</t>
  </si>
  <si>
    <t xml:space="preserve">Cell Legend</t>
  </si>
  <si>
    <t xml:space="preserve">A</t>
  </si>
  <si>
    <t xml:space="preserve">Blue text — designer-tunable input</t>
  </si>
  <si>
    <t xml:space="preserve">B</t>
  </si>
  <si>
    <t xml:space="preserve">Black text — Excel formula / static text</t>
  </si>
  <si>
    <t xml:space="preserve">C</t>
  </si>
  <si>
    <t xml:space="preserve">Green text — cross-sheet reference</t>
  </si>
  <si>
    <t xml:space="preserve">D</t>
  </si>
  <si>
    <t xml:space="preserve">Yellow fill — flagged assumption needing validation</t>
  </si>
  <si>
    <t xml:space="preserve">#</t>
  </si>
  <si>
    <t xml:space="preserve">Sheet</t>
  </si>
  <si>
    <t xml:space="preserve">Category</t>
  </si>
  <si>
    <t xml:space="preserve">Purpose</t>
  </si>
  <si>
    <t xml:space="preserve">Navigation</t>
  </si>
  <si>
    <t xml:space="preserve">Index</t>
  </si>
  <si>
    <t xml:space="preserve">This sheet — links to every tab</t>
  </si>
  <si>
    <t xml:space="preserve">Version Log</t>
  </si>
  <si>
    <t xml:space="preserve">Changelog with dates, authors, revisions</t>
  </si>
  <si>
    <t xml:space="preserve">Gameplay Params</t>
  </si>
  <si>
    <t xml:space="preserve">Core</t>
  </si>
  <si>
    <t xml:space="preserve">Master parameter table — every tunable value</t>
  </si>
  <si>
    <t xml:space="preserve">Symbols &amp; Paytable</t>
  </si>
  <si>
    <t xml:space="preserve">16 symbol inventory + ×3/×4/×5 payout multipliers</t>
  </si>
  <si>
    <t xml:space="preserve">Reel Strips Base</t>
  </si>
  <si>
    <t xml:space="preserve">Base Game reel strip composition (5 reels)</t>
  </si>
  <si>
    <t xml:space="preserve">Reel Strips FS</t>
  </si>
  <si>
    <t xml:space="preserve">Free Spins reel strip composition (5 reels)</t>
  </si>
  <si>
    <t xml:space="preserve">Paylines</t>
  </si>
  <si>
    <t xml:space="preserve">10 fixed payline patterns across 3×5 grid</t>
  </si>
  <si>
    <t xml:space="preserve">Morph Pool Base</t>
  </si>
  <si>
    <t xml:space="preserve">Math</t>
  </si>
  <si>
    <t xml:space="preserve">Base Game morph replacement weights</t>
  </si>
  <si>
    <t xml:space="preserve">Morph Pool FS</t>
  </si>
  <si>
    <t xml:space="preserve">Free Spins morph replacement weights</t>
  </si>
  <si>
    <t xml:space="preserve">Golden Config</t>
  </si>
  <si>
    <t xml:space="preserve">Feature</t>
  </si>
  <si>
    <t xml:space="preserve">Golden Symbol eligibility and appearance chance</t>
  </si>
  <si>
    <t xml:space="preserve">Bursting Wild</t>
  </si>
  <si>
    <t xml:space="preserve">W02 burst count weights + adjacency rules</t>
  </si>
  <si>
    <t xml:space="preserve">Multipliers</t>
  </si>
  <si>
    <t xml:space="preserve">Base and Free Spins multiplier sequences + EV table</t>
  </si>
  <si>
    <t xml:space="preserve">Scatter &amp; FS</t>
  </si>
  <si>
    <t xml:space="preserve">Scatter payouts, Free Spins rules, retrigger table</t>
  </si>
  <si>
    <t xml:space="preserve">Wheel Feature</t>
  </si>
  <si>
    <t xml:space="preserve">Wheel segments and trigger chances</t>
  </si>
  <si>
    <t xml:space="preserve">Jackpot Tiers</t>
  </si>
  <si>
    <t xml:space="preserve">Bonus</t>
  </si>
  <si>
    <t xml:space="preserve">Grand/Major/Minor/Mini tier values and weights</t>
  </si>
  <si>
    <t xml:space="preserve">Mansion Bonus</t>
  </si>
  <si>
    <t xml:space="preserve">Mansion count → payout multiplier table</t>
  </si>
  <si>
    <t xml:space="preserve">Buzzsaw Bonus</t>
  </si>
  <si>
    <t xml:space="preserve">Border upgrade chain and payout values</t>
  </si>
  <si>
    <t xml:space="preserve">Mega Hat Bonus</t>
  </si>
  <si>
    <t xml:space="preserve">Hat spaces weight distribution and prizes</t>
  </si>
  <si>
    <t xml:space="preserve">Buy Feature</t>
  </si>
  <si>
    <t xml:space="preserve">Feature purchase costs and enable flags</t>
  </si>
  <si>
    <t xml:space="preserve">Bet &amp; Economy</t>
  </si>
  <si>
    <t xml:space="preserve">9 bet levels, starting balance, economy rules</t>
  </si>
  <si>
    <t xml:space="preserve">Win Tiers</t>
  </si>
  <si>
    <t xml:space="preserve">Standard/Nice/Big/Mega/Super celebration thresholds</t>
  </si>
  <si>
    <t xml:space="preserve">RNG Registry</t>
  </si>
  <si>
    <t xml:space="preserve">Tech</t>
  </si>
  <si>
    <t xml:space="preserve">Every randomization point — systems, purpose, calls/event</t>
  </si>
  <si>
    <t xml:space="preserve">Analytics Events</t>
  </si>
  <si>
    <t xml:space="preserve">15-event inventory with parameters and triggers</t>
  </si>
  <si>
    <t xml:space="preserve">Sounds</t>
  </si>
  <si>
    <t xml:space="preserve">UI</t>
  </si>
  <si>
    <t xml:space="preserve">SFX and music track inventory</t>
  </si>
  <si>
    <t xml:space="preserve">Config Index</t>
  </si>
  <si>
    <t xml:space="preserve">18 JSON config files — name, purpose, owner</t>
  </si>
  <si>
    <t xml:space="preserve">Version</t>
  </si>
  <si>
    <t xml:space="preserve">Date</t>
  </si>
  <si>
    <t xml:space="preserve">Author</t>
  </si>
  <si>
    <t xml:space="preserve">Change Summary</t>
  </si>
  <si>
    <t xml:space="preserve">Linked GDD Section</t>
  </si>
  <si>
    <t xml:space="preserve">Status</t>
  </si>
  <si>
    <t xml:space="preserve">1.0</t>
  </si>
  <si>
    <t xml:space="preserve">2026-04-23</t>
  </si>
  <si>
    <t xml:space="preserve">Samus Shepard (GDD)</t>
  </si>
  <si>
    <t xml:space="preserve">Initial design sheet generated from approved GDD v1.0</t>
  </si>
  <si>
    <t xml:space="preserve">All sections</t>
  </si>
  <si>
    <t xml:space="preserve">Draft — awaiting math validation</t>
  </si>
  <si>
    <t xml:space="preserve">(pre-populated template — math model team to add tuning revisions)</t>
  </si>
  <si>
    <t xml:space="preserve">System</t>
  </si>
  <si>
    <t xml:space="preserve">Parameter Name</t>
  </si>
  <si>
    <t xml:space="preserve">Parameter Key</t>
  </si>
  <si>
    <t xml:space="preserve">Value</t>
  </si>
  <si>
    <t xml:space="preserve">Min</t>
  </si>
  <si>
    <t xml:space="preserve">Max</t>
  </si>
  <si>
    <t xml:space="preserve">Unit</t>
  </si>
  <si>
    <t xml:space="preserve">Formula</t>
  </si>
  <si>
    <t xml:space="preserve">Description</t>
  </si>
  <si>
    <t xml:space="preserve">GDD Ref</t>
  </si>
  <si>
    <t xml:space="preserve">Grid</t>
  </si>
  <si>
    <t xml:space="preserve">Rows</t>
  </si>
  <si>
    <t xml:space="preserve">grid_rows</t>
  </si>
  <si>
    <t xml:space="preserve">int</t>
  </si>
  <si>
    <t xml:space="preserve">Number of visible rows</t>
  </si>
  <si>
    <t xml:space="preserve">3.1</t>
  </si>
  <si>
    <t xml:space="preserve">Reels</t>
  </si>
  <si>
    <t xml:space="preserve">grid_reels</t>
  </si>
  <si>
    <t xml:space="preserve">Number of reels</t>
  </si>
  <si>
    <t xml:space="preserve">Total Visible Cells</t>
  </si>
  <si>
    <t xml:space="preserve">grid_cells</t>
  </si>
  <si>
    <t xml:space="preserve">Total playable cells</t>
  </si>
  <si>
    <t xml:space="preserve">Strip Length (avg)</t>
  </si>
  <si>
    <t xml:space="preserve">strip_length_avg</t>
  </si>
  <si>
    <t xml:space="preserve">Virtual reel strip length (see Reel Strips)</t>
  </si>
  <si>
    <t xml:space="preserve">3.2</t>
  </si>
  <si>
    <t xml:space="preserve">Stagger Between Reels</t>
  </si>
  <si>
    <t xml:space="preserve">reel_stagger_ms</t>
  </si>
  <si>
    <t xml:space="preserve">ms</t>
  </si>
  <si>
    <t xml:space="preserve">Delay between reel stop events</t>
  </si>
  <si>
    <t xml:space="preserve">3.3</t>
  </si>
  <si>
    <t xml:space="preserve">Quick Spin Stagger</t>
  </si>
  <si>
    <t xml:space="preserve">reel_stagger_qs_ms</t>
  </si>
  <si>
    <t xml:space="preserve">Delay during Quick Spin</t>
  </si>
  <si>
    <t xml:space="preserve">Spin Timing</t>
  </si>
  <si>
    <t xml:space="preserve">Reel Spin Duration</t>
  </si>
  <si>
    <t xml:space="preserve">reel_spin_dur</t>
  </si>
  <si>
    <t xml:space="preserve">sec</t>
  </si>
  <si>
    <t xml:space="preserve">Target reel spin length (normal)</t>
  </si>
  <si>
    <t xml:space="preserve">2.4</t>
  </si>
  <si>
    <t xml:space="preserve">Reel Spin Duration QS</t>
  </si>
  <si>
    <t xml:space="preserve">reel_spin_dur_qs</t>
  </si>
  <si>
    <t xml:space="preserve">Reel spin length (Quick Spin)</t>
  </si>
  <si>
    <t xml:space="preserve">Morph Step Duration</t>
  </si>
  <si>
    <t xml:space="preserve">morph_step_dur</t>
  </si>
  <si>
    <t xml:space="preserve">Time per morph chain step</t>
  </si>
  <si>
    <t xml:space="preserve">Big Win Celebration</t>
  </si>
  <si>
    <t xml:space="preserve">big_win_dur</t>
  </si>
  <si>
    <t xml:space="preserve">Full big win celebration length (skippable)</t>
  </si>
  <si>
    <t xml:space="preserve">Line Count</t>
  </si>
  <si>
    <t xml:space="preserve">payline_count</t>
  </si>
  <si>
    <t xml:space="preserve">Fixed active paylines (see Paylines)</t>
  </si>
  <si>
    <t xml:space="preserve">4.3</t>
  </si>
  <si>
    <t xml:space="preserve">Min Match</t>
  </si>
  <si>
    <t xml:space="preserve">min_match</t>
  </si>
  <si>
    <t xml:space="preserve">Minimum symbols in win</t>
  </si>
  <si>
    <t xml:space="preserve">4.4</t>
  </si>
  <si>
    <t xml:space="preserve">Chain</t>
  </si>
  <si>
    <t xml:space="preserve">Safety Cap</t>
  </si>
  <si>
    <t xml:space="preserve">chain_cap</t>
  </si>
  <si>
    <t xml:space="preserve">iter</t>
  </si>
  <si>
    <t xml:space="preserve">Maximum chain iterations (safety)</t>
  </si>
  <si>
    <t xml:space="preserve">5.3</t>
  </si>
  <si>
    <t xml:space="preserve">Multiplier</t>
  </si>
  <si>
    <t xml:space="preserve">Base Max</t>
  </si>
  <si>
    <t xml:space="preserve">mult_base_max</t>
  </si>
  <si>
    <t xml:space="preserve">×</t>
  </si>
  <si>
    <t xml:space="preserve">Base game multiplier cap</t>
  </si>
  <si>
    <t xml:space="preserve">7.3</t>
  </si>
  <si>
    <t xml:space="preserve">FS Max</t>
  </si>
  <si>
    <t xml:space="preserve">mult_fs_max</t>
  </si>
  <si>
    <t xml:space="preserve">Free Spins multiplier cap</t>
  </si>
  <si>
    <t xml:space="preserve">7.4</t>
  </si>
  <si>
    <t xml:space="preserve">Scatter</t>
  </si>
  <si>
    <t xml:space="preserve">Min Count</t>
  </si>
  <si>
    <t xml:space="preserve">scatter_min</t>
  </si>
  <si>
    <t xml:space="preserve">Scatters needed for Free Spins</t>
  </si>
  <si>
    <t xml:space="preserve">11.1</t>
  </si>
  <si>
    <t xml:space="preserve">Free Spins</t>
  </si>
  <si>
    <t xml:space="preserve">Initial Spins</t>
  </si>
  <si>
    <t xml:space="preserve">fs_initial</t>
  </si>
  <si>
    <t xml:space="preserve">Free Spins awarded at 3+ scatters</t>
  </si>
  <si>
    <t xml:space="preserve">11.2</t>
  </si>
  <si>
    <t xml:space="preserve">Retrigger Cap</t>
  </si>
  <si>
    <t xml:space="preserve">fs_cap</t>
  </si>
  <si>
    <t xml:space="preserve">Safety cap per FS session</t>
  </si>
  <si>
    <t xml:space="preserve">11.3</t>
  </si>
  <si>
    <t xml:space="preserve">Wheel</t>
  </si>
  <si>
    <t xml:space="preserve">Base Trigger %</t>
  </si>
  <si>
    <t xml:space="preserve">wheel_trigger_base</t>
  </si>
  <si>
    <t xml:space="preserve">prob</t>
  </si>
  <si>
    <t xml:space="preserve">Chance of Wheel per base spin</t>
  </si>
  <si>
    <t xml:space="preserve">12.1</t>
  </si>
  <si>
    <t xml:space="preserve">FS Trigger %</t>
  </si>
  <si>
    <t xml:space="preserve">wheel_trigger_fs</t>
  </si>
  <si>
    <t xml:space="preserve">Chance of Wheel per FS spin</t>
  </si>
  <si>
    <t xml:space="preserve">Golden</t>
  </si>
  <si>
    <t xml:space="preserve">Base Chance</t>
  </si>
  <si>
    <t xml:space="preserve">golden_base</t>
  </si>
  <si>
    <t xml:space="preserve">Golden roll per eligible cell (base)</t>
  </si>
  <si>
    <t xml:space="preserve">8.1</t>
  </si>
  <si>
    <t xml:space="preserve">FS Chance</t>
  </si>
  <si>
    <t xml:space="preserve">golden_fs</t>
  </si>
  <si>
    <t xml:space="preserve">Golden roll per eligible cell (FS)</t>
  </si>
  <si>
    <t xml:space="preserve">Economy</t>
  </si>
  <si>
    <t xml:space="preserve">Starting Balance</t>
  </si>
  <si>
    <t xml:space="preserve">starting_balance</t>
  </si>
  <si>
    <t xml:space="preserve">coins</t>
  </si>
  <si>
    <t xml:space="preserve">Demo balance at session start</t>
  </si>
  <si>
    <t xml:space="preserve">14.2</t>
  </si>
  <si>
    <t xml:space="preserve">Min Total Bet</t>
  </si>
  <si>
    <t xml:space="preserve">bet_min</t>
  </si>
  <si>
    <t xml:space="preserve">Lowest total bet (base×payline)</t>
  </si>
  <si>
    <t xml:space="preserve">14.1</t>
  </si>
  <si>
    <t xml:space="preserve">Max Total Bet</t>
  </si>
  <si>
    <t xml:space="preserve">bet_max</t>
  </si>
  <si>
    <t xml:space="preserve">Highest total bet</t>
  </si>
  <si>
    <t xml:space="preserve">Default Bet Level</t>
  </si>
  <si>
    <t xml:space="preserve">bet_default_level</t>
  </si>
  <si>
    <t xml:space="preserve">level</t>
  </si>
  <si>
    <t xml:space="preserve">Bet level at session start</t>
  </si>
  <si>
    <t xml:space="preserve">Buy FS Cost (× bet)</t>
  </si>
  <si>
    <t xml:space="preserve">buy_fs_mult</t>
  </si>
  <si>
    <t xml:space="preserve">Buy Free Spins cost multiplier</t>
  </si>
  <si>
    <t xml:space="preserve">13.2</t>
  </si>
  <si>
    <t xml:space="preserve">Buy Wheel Cost (× bet)</t>
  </si>
  <si>
    <t xml:space="preserve">buy_wheel_mult</t>
  </si>
  <si>
    <t xml:space="preserve">Buy Wheel cost multiplier</t>
  </si>
  <si>
    <t xml:space="preserve">Target RTP</t>
  </si>
  <si>
    <t xml:space="preserve">Demo RTP Target</t>
  </si>
  <si>
    <t xml:space="preserve">rtp_target</t>
  </si>
  <si>
    <t xml:space="preserve">%</t>
  </si>
  <si>
    <t xml:space="preserve">Target return to player</t>
  </si>
  <si>
    <t xml:space="preserve">1.1</t>
  </si>
  <si>
    <t xml:space="preserve">Volatility</t>
  </si>
  <si>
    <t xml:space="preserve">volatility</t>
  </si>
  <si>
    <t xml:space="preserve">Medium-High</t>
  </si>
  <si>
    <t xml:space="preserve">text</t>
  </si>
  <si>
    <t xml:space="preserve">Volatility profile</t>
  </si>
  <si>
    <t xml:space="preserve">Performance</t>
  </si>
  <si>
    <t xml:space="preserve">Frame Rate Target</t>
  </si>
  <si>
    <t xml:space="preserve">fps_target</t>
  </si>
  <si>
    <t xml:space="preserve">fps</t>
  </si>
  <si>
    <t xml:space="preserve">Target frame rate</t>
  </si>
  <si>
    <t xml:space="preserve">20.4</t>
  </si>
  <si>
    <t xml:space="preserve">Spin Logic Latency</t>
  </si>
  <si>
    <t xml:space="preserve">logic_latency</t>
  </si>
  <si>
    <t xml:space="preserve">Max logic step budget</t>
  </si>
  <si>
    <t xml:space="preserve">Input Response</t>
  </si>
  <si>
    <t xml:space="preserve">input_response</t>
  </si>
  <si>
    <t xml:space="preserve">Input to visual feedback</t>
  </si>
  <si>
    <t xml:space="preserve">Initial Load</t>
  </si>
  <si>
    <t xml:space="preserve">initial_load_s</t>
  </si>
  <si>
    <t xml:space="preserve">Target initial load time</t>
  </si>
  <si>
    <t xml:space="preserve">Runtime Memory Cap</t>
  </si>
  <si>
    <t xml:space="preserve">mem_cap_mb</t>
  </si>
  <si>
    <t xml:space="preserve">MB</t>
  </si>
  <si>
    <t xml:space="preserve">Runtime memory target</t>
  </si>
  <si>
    <t xml:space="preserve">ID</t>
  </si>
  <si>
    <t xml:space="preserve">Symbol Name</t>
  </si>
  <si>
    <t xml:space="preserve">Tier</t>
  </si>
  <si>
    <t xml:space="preserve">Pay ×3</t>
  </si>
  <si>
    <t xml:space="preserve">Pay ×4</t>
  </si>
  <si>
    <t xml:space="preserve">Pay ×5</t>
  </si>
  <si>
    <t xml:space="preserve">Pay Ratio 5:3</t>
  </si>
  <si>
    <t xml:space="preserve">Strip Freq (avg/reel)</t>
  </si>
  <si>
    <t xml:space="preserve">Win Animation</t>
  </si>
  <si>
    <t xml:space="preserve">Notes</t>
  </si>
  <si>
    <t xml:space="preserve">C04</t>
  </si>
  <si>
    <t xml:space="preserve">Wolf</t>
  </si>
  <si>
    <t xml:space="preserve">Character</t>
  </si>
  <si>
    <t xml:space="preserve">Premium</t>
  </si>
  <si>
    <t xml:space="preserve">Custom 2-3s animation + particles</t>
  </si>
  <si>
    <t xml:space="preserve">Top premium — wolf is the antagonist</t>
  </si>
  <si>
    <t xml:space="preserve">C03</t>
  </si>
  <si>
    <t xml:space="preserve">Pig — Bricks</t>
  </si>
  <si>
    <t xml:space="preserve">High</t>
  </si>
  <si>
    <t xml:space="preserve">2nd highest character</t>
  </si>
  <si>
    <t xml:space="preserve">C02</t>
  </si>
  <si>
    <t xml:space="preserve">Pig — Sticks</t>
  </si>
  <si>
    <t xml:space="preserve">Mid character</t>
  </si>
  <si>
    <t xml:space="preserve">C01</t>
  </si>
  <si>
    <t xml:space="preserve">Pig — Straw</t>
  </si>
  <si>
    <t xml:space="preserve">Entry character</t>
  </si>
  <si>
    <t xml:space="preserve">S08</t>
  </si>
  <si>
    <t xml:space="preserve">Gem Red</t>
  </si>
  <si>
    <t xml:space="preserve">Basic</t>
  </si>
  <si>
    <t xml:space="preserve">Low</t>
  </si>
  <si>
    <t xml:space="preserve">Glow + Pop/Burst</t>
  </si>
  <si>
    <t xml:space="preserve">Top gem</t>
  </si>
  <si>
    <t xml:space="preserve">S07</t>
  </si>
  <si>
    <t xml:space="preserve">Gem Green</t>
  </si>
  <si>
    <t xml:space="preserve">Mid gem</t>
  </si>
  <si>
    <t xml:space="preserve">S06</t>
  </si>
  <si>
    <t xml:space="preserve">Gem Blue</t>
  </si>
  <si>
    <t xml:space="preserve">Entry gem</t>
  </si>
  <si>
    <t xml:space="preserve">S05</t>
  </si>
  <si>
    <t xml:space="preserve">High card A</t>
  </si>
  <si>
    <t xml:space="preserve">S04</t>
  </si>
  <si>
    <t xml:space="preserve">K</t>
  </si>
  <si>
    <t xml:space="preserve">High card K</t>
  </si>
  <si>
    <t xml:space="preserve">S03</t>
  </si>
  <si>
    <t xml:space="preserve">Q</t>
  </si>
  <si>
    <t xml:space="preserve">High card Q</t>
  </si>
  <si>
    <t xml:space="preserve">S02</t>
  </si>
  <si>
    <t xml:space="preserve">J</t>
  </si>
  <si>
    <t xml:space="preserve">High card J</t>
  </si>
  <si>
    <t xml:space="preserve">S01</t>
  </si>
  <si>
    <t xml:space="preserve">10</t>
  </si>
  <si>
    <t xml:space="preserve">Entry card 10</t>
  </si>
  <si>
    <t xml:space="preserve">W01</t>
  </si>
  <si>
    <t xml:space="preserve">Wild (Standard)</t>
  </si>
  <si>
    <t xml:space="preserve">Wild</t>
  </si>
  <si>
    <t xml:space="preserve">Special</t>
  </si>
  <si>
    <t xml:space="preserve">-</t>
  </si>
  <si>
    <t xml:space="preserve">Glow + Burst + Expand pulse</t>
  </si>
  <si>
    <t xml:space="preserve">Substitutes for S01-S08, C01-C04</t>
  </si>
  <si>
    <t xml:space="preserve">W02</t>
  </si>
  <si>
    <t xml:space="preserve">Wild (Bursting)</t>
  </si>
  <si>
    <t xml:space="preserve">Wild + Special</t>
  </si>
  <si>
    <t xml:space="preserve">Burst explosion to adjacent cells</t>
  </si>
  <si>
    <t xml:space="preserve">Reel-restricted; triggers 1-4 cell burst</t>
  </si>
  <si>
    <t xml:space="preserve">SC01</t>
  </si>
  <si>
    <t xml:space="preserve">Scatter (Free Games)</t>
  </si>
  <si>
    <t xml:space="preserve">Screen flash + audio sting</t>
  </si>
  <si>
    <t xml:space="preserve">Triggers 10 FS at 3+; morph-immune</t>
  </si>
  <si>
    <t xml:space="preserve">G01</t>
  </si>
  <si>
    <t xml:space="preserve">Golden Symbol</t>
  </si>
  <si>
    <t xml:space="preserve">Modifier</t>
  </si>
  <si>
    <t xml:space="preserve">Golden pulse + conversion anim</t>
  </si>
  <si>
    <t xml:space="preserve">Overlay on S01-S08, C01-C04; converts to W02 on win</t>
  </si>
  <si>
    <t xml:space="preserve">Scatter pays are also expressed as total-bet multiples (same column format). Scatter payout is credited BEFORE Free Spins session starts.</t>
  </si>
  <si>
    <t xml:space="preserve">Reel Strips — Base Game</t>
  </si>
  <si>
    <t xml:space="preserve">Virtual reel strips. Each reel stops at RNG.nextInt(0, length-1). Visible window = 3 symbols (center ± 1).</t>
  </si>
  <si>
    <t xml:space="preserve">Summary (Symbol Count Per Reel)</t>
  </si>
  <si>
    <t xml:space="preserve">Symbol / Reel</t>
  </si>
  <si>
    <t xml:space="preserve">Reel 1</t>
  </si>
  <si>
    <t xml:space="preserve">Reel 2</t>
  </si>
  <si>
    <t xml:space="preserve">Reel 3</t>
  </si>
  <si>
    <t xml:space="preserve">Reel 4</t>
  </si>
  <si>
    <t xml:space="preserve">Reel 5</t>
  </si>
  <si>
    <t xml:space="preserve">Total</t>
  </si>
  <si>
    <t xml:space="preserve">Strip Length</t>
  </si>
  <si>
    <t xml:space="preserve">Count Check (must = Length)</t>
  </si>
  <si>
    <t xml:space="preserve">Strip Listings (stop index → symbol)</t>
  </si>
  <si>
    <t xml:space="preserve">Reel Strips — Free Spins</t>
  </si>
  <si>
    <t xml:space="preserve">Line #</t>
  </si>
  <si>
    <t xml:space="preserve">Reel 1 (row)</t>
  </si>
  <si>
    <t xml:space="preserve">Reel 2 (row)</t>
  </si>
  <si>
    <t xml:space="preserve">Reel 3 (row)</t>
  </si>
  <si>
    <t xml:space="preserve">Reel 4 (row)</t>
  </si>
  <si>
    <t xml:space="preserve">Reel 5 (row)</t>
  </si>
  <si>
    <t xml:space="preserve">Shape</t>
  </si>
  <si>
    <t xml:space="preserve">Direction</t>
  </si>
  <si>
    <t xml:space="preserve">Active?</t>
  </si>
  <si>
    <t xml:space="preserve">Straight middle row</t>
  </si>
  <si>
    <t xml:space="preserve">L→R</t>
  </si>
  <si>
    <t xml:space="preserve">Straight top row</t>
  </si>
  <si>
    <t xml:space="preserve">Straight bottom row</t>
  </si>
  <si>
    <t xml:space="preserve">V down-up (top-center-bottom-center-top)</t>
  </si>
  <si>
    <t xml:space="preserve">V up-down (bottom-center-top-center-bottom)</t>
  </si>
  <si>
    <t xml:space="preserve">Diagonal down-right</t>
  </si>
  <si>
    <t xml:space="preserve">Diagonal up-right</t>
  </si>
  <si>
    <t xml:space="preserve">Zigzag top (center-top-top-top-center)</t>
  </si>
  <si>
    <t xml:space="preserve">Zigzag bottom (center-bottom-bottom-bottom-center)</t>
  </si>
  <si>
    <t xml:space="preserve">Alternating top-center</t>
  </si>
  <si>
    <t xml:space="preserve">Active Paylines</t>
  </si>
  <si>
    <t xml:space="preserve">Target: 10</t>
  </si>
  <si>
    <t xml:space="preserve">Morph Pool — Base Game (GDD 7.2)</t>
  </si>
  <si>
    <t xml:space="preserve">Weighted random selection pool. Every morph step rolls one sample per morphed cell.</t>
  </si>
  <si>
    <t xml:space="preserve">Symbol ID</t>
  </si>
  <si>
    <t xml:space="preserve">Weight</t>
  </si>
  <si>
    <t xml:space="preserve">Probability</t>
  </si>
  <si>
    <t xml:space="preserve">Cumulative %</t>
  </si>
  <si>
    <t xml:space="preserve">Low pay — highest weight (most common fill)</t>
  </si>
  <si>
    <t xml:space="preserve">Low pay</t>
  </si>
  <si>
    <t xml:space="preserve">Low pay - top of low tier</t>
  </si>
  <si>
    <t xml:space="preserve">Pig Straw</t>
  </si>
  <si>
    <t xml:space="preserve">High pay entry</t>
  </si>
  <si>
    <t xml:space="preserve">Pig Sticks</t>
  </si>
  <si>
    <t xml:space="preserve">High pay mid</t>
  </si>
  <si>
    <t xml:space="preserve">Pig Bricks</t>
  </si>
  <si>
    <t xml:space="preserve">High pay</t>
  </si>
  <si>
    <t xml:space="preserve">Premium character</t>
  </si>
  <si>
    <t xml:space="preserve">Substitution wild</t>
  </si>
  <si>
    <t xml:space="preserve">Rare — high chain value</t>
  </si>
  <si>
    <t xml:space="preserve">Triggers Free Spins at 3+ anywhere</t>
  </si>
  <si>
    <t xml:space="preserve">TOTAL</t>
  </si>
  <si>
    <t xml:space="preserve">Morph Pool — Free Spins (GDD 7.2)</t>
  </si>
  <si>
    <t xml:space="preserve">High pay — boosted density in FS</t>
  </si>
  <si>
    <t xml:space="preserve">Premium — boosted density in FS</t>
  </si>
  <si>
    <t xml:space="preserve">Wilds boosted in FS</t>
  </si>
  <si>
    <t xml:space="preserve">Burst wild boosted in FS</t>
  </si>
  <si>
    <t xml:space="preserve">Retrigger target — boosted for session extension</t>
  </si>
  <si>
    <t xml:space="preserve">Reel #</t>
  </si>
  <si>
    <t xml:space="preserve">Base Eligible?</t>
  </si>
  <si>
    <t xml:space="preserve">Base Chance %</t>
  </si>
  <si>
    <t xml:space="preserve">FS Eligible?</t>
  </si>
  <si>
    <t xml:space="preserve">FS Chance %</t>
  </si>
  <si>
    <t xml:space="preserve">Expected Golden / Spin (Base)</t>
  </si>
  <si>
    <t xml:space="preserve">Expected Golden / Spin (FS)</t>
  </si>
  <si>
    <t xml:space="preserve">Not eligible in base game</t>
  </si>
  <si>
    <t xml:space="preserve">Center reel — highest FS rate</t>
  </si>
  <si>
    <t xml:space="preserve">Expected Total / Spin</t>
  </si>
  <si>
    <t xml:space="preserve">Conversion Pipeline: Win Eval (G01 as base) → Std Burst → Golden → W02 → Burst → Morph</t>
  </si>
  <si>
    <t xml:space="preserve">Burst Count (Cells)</t>
  </si>
  <si>
    <t xml:space="preserve">Base Game Weight %</t>
  </si>
  <si>
    <t xml:space="preserve">FS Weight %</t>
  </si>
  <si>
    <t xml:space="preserve">Base Expected Cells</t>
  </si>
  <si>
    <t xml:space="preserve">FS Expected Cells</t>
  </si>
  <si>
    <t xml:space="preserve">Minimum burst - least impact</t>
  </si>
  <si>
    <t xml:space="preserve">Max burst - highest chain potential</t>
  </si>
  <si>
    <t xml:space="preserve">Must sum to 100% (validation)</t>
  </si>
  <si>
    <t xml:space="preserve">Adjacency Rules</t>
  </si>
  <si>
    <t xml:space="preserve">Adjacency Mask</t>
  </si>
  <si>
    <t xml:space="preserve">All 8 surrounding cells (H/V/D). Corners have 3 max.</t>
  </si>
  <si>
    <t xml:space="preserve">Excluded Cells</t>
  </si>
  <si>
    <t xml:space="preserve">SC01 cells, already-claimed cells, out-of-grid boundary</t>
  </si>
  <si>
    <t xml:space="preserve">Clamp</t>
  </si>
  <si>
    <t xml:space="preserve">Burst count clamped to available candidates</t>
  </si>
  <si>
    <t xml:space="preserve">Selection</t>
  </si>
  <si>
    <t xml:space="preserve">Random without replacement from candidate set</t>
  </si>
  <si>
    <t xml:space="preserve">Burst Symbol</t>
  </si>
  <si>
    <t xml:space="preserve">W01 (Standard Wild) — never W02 (prevents recursive bursts)</t>
  </si>
  <si>
    <t xml:space="preserve">Overwrite</t>
  </si>
  <si>
    <t xml:space="preserve">Un-burst W02 is overwritten by W01 — loses W02 identity</t>
  </si>
  <si>
    <t xml:space="preserve">Multiplier Sequences — GDD 7.3, 7.4, 10</t>
  </si>
  <si>
    <t xml:space="preserve">Chain Step Index</t>
  </si>
  <si>
    <t xml:space="preserve">Base Multiplier</t>
  </si>
  <si>
    <t xml:space="preserve">FS Multiplier</t>
  </si>
  <si>
    <t xml:space="preserve">Base Avg Contribution</t>
  </si>
  <si>
    <t xml:space="preserve">FS Avg Contribution</t>
  </si>
  <si>
    <t xml:space="preserve">Step 0 — first win</t>
  </si>
  <si>
    <t xml:space="preserve">Step 1 — 1st advance</t>
  </si>
  <si>
    <t xml:space="preserve">Step 2 — 2nd advance</t>
  </si>
  <si>
    <t xml:space="preserve">Step 3 — cap reached (all later steps use this)</t>
  </si>
  <si>
    <t xml:space="preserve">Step 4+ - capped, still accumulates</t>
  </si>
  <si>
    <t xml:space="preserve">Converges toward 5.0 (Base) / 10.0 (FS)</t>
  </si>
  <si>
    <t xml:space="preserve">Escalation Rules</t>
  </si>
  <si>
    <t xml:space="preserve">Apply Then Advance</t>
  </si>
  <si>
    <t xml:space="preserve">Multiplier applied to current step win BEFORE advancement</t>
  </si>
  <si>
    <t xml:space="preserve">Payline Win Required</t>
  </si>
  <si>
    <t xml:space="preserve">Scatter-only wins do NOT advance multiplier</t>
  </si>
  <si>
    <t xml:space="preserve">Multi-win Step</t>
  </si>
  <si>
    <t xml:space="preserve">Multiple payline wins in same step = single advancement</t>
  </si>
  <si>
    <t xml:space="preserve">Reset Conditions</t>
  </si>
  <si>
    <t xml:space="preserve">Chain end, new spin start, mode change (Base↔FS)</t>
  </si>
  <si>
    <t xml:space="preserve">Never Cross-Mode</t>
  </si>
  <si>
    <t xml:space="preserve">Multiplier state resets when entering/exiting Free Spins</t>
  </si>
  <si>
    <t xml:space="preserve">Wheel uses own payout logic — multiplier not applicable</t>
  </si>
  <si>
    <t xml:space="preserve">Win Formulas</t>
  </si>
  <si>
    <t xml:space="preserve">Single Step Win</t>
  </si>
  <si>
    <t xml:space="preserve">stepWin = stepBaseWin × multiplier[MIN(chainStepIndex, 3)]</t>
  </si>
  <si>
    <t xml:space="preserve">Full Chain</t>
  </si>
  <si>
    <t xml:space="preserve">chainTotal = Σ (stepBaseWin[n] × multiplier[MIN(n,3)]) for all winning steps</t>
  </si>
  <si>
    <t xml:space="preserve">Full Spin Payout</t>
  </si>
  <si>
    <t xml:space="preserve">spinPayout = chainTotal + scatterWin + featureWinnings</t>
  </si>
  <si>
    <t xml:space="preserve">Scatter &amp; Free Spins — GDD 11</t>
  </si>
  <si>
    <t xml:space="preserve">Scatter Count</t>
  </si>
  <si>
    <t xml:space="preserve">Base Pay (× Total Bet)</t>
  </si>
  <si>
    <t xml:space="preserve">Free Spins Award</t>
  </si>
  <si>
    <t xml:space="preserve">Total Value if Min Bet (=10)</t>
  </si>
  <si>
    <t xml:space="preserve">Total Value if Max Bet (=1000)</t>
  </si>
  <si>
    <t xml:space="preserve">Minimum trigger — most common</t>
  </si>
  <si>
    <t xml:space="preserve">Mid trigger — 5× value over min</t>
  </si>
  <si>
    <t xml:space="preserve">Max trigger — jackpot-adjacent; all scatters visible</t>
  </si>
  <si>
    <t xml:space="preserve">Retrigger (during FS) — GDD 11.3</t>
  </si>
  <si>
    <t xml:space="preserve">Extra Spins</t>
  </si>
  <si>
    <t xml:space="preserve">Minimum retrigger</t>
  </si>
  <si>
    <t xml:space="preserve">Maximum — 100 spin safety cap per session</t>
  </si>
  <si>
    <t xml:space="preserve">Modified Parameters During Free Spins — GDD 11.2</t>
  </si>
  <si>
    <t xml:space="preserve">Parameter</t>
  </si>
  <si>
    <t xml:space="preserve">Base Game</t>
  </si>
  <si>
    <t xml:space="preserve">Source Sheet</t>
  </si>
  <si>
    <t xml:space="preserve">Reel Strips</t>
  </si>
  <si>
    <t xml:space="preserve">baseGame config</t>
  </si>
  <si>
    <t xml:space="preserve">freeSpins config (higher-value density)</t>
  </si>
  <si>
    <t xml:space="preserve">Reel Strips Base / FS</t>
  </si>
  <si>
    <t xml:space="preserve">Morph Pool</t>
  </si>
  <si>
    <t xml:space="preserve">Base weights</t>
  </si>
  <si>
    <t xml:space="preserve">Boosted high-pay, wilds, scatters</t>
  </si>
  <si>
    <t xml:space="preserve">Morph Pool Base / FS</t>
  </si>
  <si>
    <t xml:space="preserve">Multiplier Sequence</t>
  </si>
  <si>
    <t xml:space="preserve">×1 → ×2 → ×3 → ×5</t>
  </si>
  <si>
    <t xml:space="preserve">×2 → ×4 → ×6 → ×10</t>
  </si>
  <si>
    <t xml:space="preserve">Golden Chance</t>
  </si>
  <si>
    <t xml:space="preserve">4–5% on Reels 2–4</t>
  </si>
  <si>
    <t xml:space="preserve">3–7% on all reels</t>
  </si>
  <si>
    <t xml:space="preserve">Golden Eligible Reels</t>
  </si>
  <si>
    <t xml:space="preserve">Reels 2, 3, 4</t>
  </si>
  <si>
    <t xml:space="preserve">All 5 reels</t>
  </si>
  <si>
    <t xml:space="preserve">Burst Count Weights</t>
  </si>
  <si>
    <t xml:space="preserve">40/30/20/10</t>
  </si>
  <si>
    <t xml:space="preserve">25/30/25/20</t>
  </si>
  <si>
    <t xml:space="preserve">Wheel Feature — GDD 12</t>
  </si>
  <si>
    <t xml:space="preserve">Segment ID</t>
  </si>
  <si>
    <t xml:space="preserve">Bonus Mode</t>
  </si>
  <si>
    <t xml:space="preserve">Probability %</t>
  </si>
  <si>
    <t xml:space="preserve">Segments on Wheel (of 12)</t>
  </si>
  <si>
    <t xml:space="preserve">Detail Sheet</t>
  </si>
  <si>
    <t xml:space="preserve">Expected Value (placeholder)</t>
  </si>
  <si>
    <t xml:space="preserve">WH_JP</t>
  </si>
  <si>
    <t xml:space="preserve">Jackpot</t>
  </si>
  <si>
    <t xml:space="preserve">TBD</t>
  </si>
  <si>
    <t xml:space="preserve">4 tier mix — weighted inside</t>
  </si>
  <si>
    <t xml:space="preserve">WH_MN</t>
  </si>
  <si>
    <t xml:space="preserve">Hat-landing collection</t>
  </si>
  <si>
    <t xml:space="preserve">WH_BZ</t>
  </si>
  <si>
    <t xml:space="preserve">Border upgrade chain</t>
  </si>
  <si>
    <t xml:space="preserve">WH_MH</t>
  </si>
  <si>
    <t xml:space="preserve">Oversized hat reels</t>
  </si>
  <si>
    <t xml:space="preserve">Must sum to 100% / 12 segments</t>
  </si>
  <si>
    <t xml:space="preserve">Trigger Chances</t>
  </si>
  <si>
    <t xml:space="preserve">Source</t>
  </si>
  <si>
    <t xml:space="preserve">Trigger Chance</t>
  </si>
  <si>
    <t xml:space="preserve">Typical Spins Between Hits</t>
  </si>
  <si>
    <t xml:space="preserve">Base Game Spin</t>
  </si>
  <si>
    <t xml:space="preserve">Per spin natural trigger</t>
  </si>
  <si>
    <t xml:space="preserve">Free Spins Spin</t>
  </si>
  <si>
    <t xml:space="preserve">Per FS spin natural trigger (higher)</t>
  </si>
  <si>
    <t xml:space="preserve">Buy Wheel</t>
  </si>
  <si>
    <t xml:space="preserve">Buy Feature — instant access</t>
  </si>
  <si>
    <t xml:space="preserve">Jackpot Tiers — GDD 12.4</t>
  </si>
  <si>
    <t xml:space="preserve">Base Value (× Bet)</t>
  </si>
  <si>
    <t xml:space="preserve">Min-Bet Scale</t>
  </si>
  <si>
    <t xml:space="preserve">Max-Bet Scale</t>
  </si>
  <si>
    <t xml:space="preserve">Tier Weight %</t>
  </si>
  <si>
    <t xml:space="preserve">Expected Value Contribution</t>
  </si>
  <si>
    <t xml:space="preserve">Payout at Min Bet (10)</t>
  </si>
  <si>
    <t xml:space="preserve">Payout at Max Bet (1000)</t>
  </si>
  <si>
    <t xml:space="preserve">Grand</t>
  </si>
  <si>
    <t xml:space="preserve">Major</t>
  </si>
  <si>
    <t xml:space="preserve">Minor</t>
  </si>
  <si>
    <t xml:space="preserve">Mini</t>
  </si>
  <si>
    <t xml:space="preserve">Reveal Animation</t>
  </si>
  <si>
    <t xml:space="preserve">Four tier icons shown → shuffle/flash → non-winners dim → winner enlarges with tier-appropriate celebration.</t>
  </si>
  <si>
    <t xml:space="preserve">Mansion Bonus — GDD 12.5</t>
  </si>
  <si>
    <t xml:space="preserve">Hat-landing collection bonus. Buzzsaw spaces get mansions. Duplicate hats relocate. Full board = 10× bet bonus per additional hat.</t>
  </si>
  <si>
    <t xml:space="preserve">Mansion Count</t>
  </si>
  <si>
    <t xml:space="preserve">Payout (× Total Bet)</t>
  </si>
  <si>
    <t xml:space="preserve">Cumulative?</t>
  </si>
  <si>
    <t xml:space="preserve">Starter</t>
  </si>
  <si>
    <t xml:space="preserve">Interpolated</t>
  </si>
  <si>
    <t xml:space="preserve">Guaranteed tier 1</t>
  </si>
  <si>
    <t xml:space="preserve">Tier 2</t>
  </si>
  <si>
    <t xml:space="preserve">Tier 3</t>
  </si>
  <si>
    <t xml:space="preserve">FULL SCREEN — max bonus; additional hats = 10× each</t>
  </si>
  <si>
    <t xml:space="preserve">Additional Hat on Full Screen</t>
  </si>
  <si>
    <t xml:space="preserve">Buzzsaw Bonus — GDD 12.6</t>
  </si>
  <si>
    <t xml:space="preserve">Buzzsaws move right across row. Each pass upgrades cell border: straw → wood → brick → mansion. Max 15 cells × mansion = 375× bet.</t>
  </si>
  <si>
    <t xml:space="preserve">Border Type</t>
  </si>
  <si>
    <t xml:space="preserve">Upgrade From</t>
  </si>
  <si>
    <t xml:space="preserve">Cell Value (× Total Bet)</t>
  </si>
  <si>
    <t xml:space="preserve">Upgrade Cost (passes)</t>
  </si>
  <si>
    <t xml:space="preserve">None</t>
  </si>
  <si>
    <t xml:space="preserve">Default — no buzzsaw has passed</t>
  </si>
  <si>
    <t xml:space="preserve">Straw</t>
  </si>
  <si>
    <t xml:space="preserve">First pass — straw border</t>
  </si>
  <si>
    <t xml:space="preserve">Wood</t>
  </si>
  <si>
    <t xml:space="preserve">Second pass — wood border</t>
  </si>
  <si>
    <t xml:space="preserve">Brick</t>
  </si>
  <si>
    <t xml:space="preserve">Third pass — brick border</t>
  </si>
  <si>
    <t xml:space="preserve">Mansion</t>
  </si>
  <si>
    <t xml:space="preserve">Fourth pass — max tier</t>
  </si>
  <si>
    <t xml:space="preserve">Max Payout (all 15 cells at Mansion tier)</t>
  </si>
  <si>
    <t xml:space="preserve">Ceiling bonus value for this sub-game</t>
  </si>
  <si>
    <t xml:space="preserve">Mega Hat Bonus — GDD 12.7</t>
  </si>
  <si>
    <t xml:space="preserve">Reels spin with oversized hats covering 4–15 spaces. More spaces = stronger start to collection bonus.</t>
  </si>
  <si>
    <t xml:space="preserve">Hat Spaces</t>
  </si>
  <si>
    <t xml:space="preserve">Weight %</t>
  </si>
  <si>
    <t xml:space="preserve">Estimated Prize Spins</t>
  </si>
  <si>
    <t xml:space="preserve">Advantage Tier</t>
  </si>
  <si>
    <t xml:space="preserve">Minimum hat coverage</t>
  </si>
  <si>
    <t xml:space="preserve">Mid</t>
  </si>
  <si>
    <t xml:space="preserve">Full coverage — rare, high upside</t>
  </si>
  <si>
    <t xml:space="preserve">Must equal 100%</t>
  </si>
  <si>
    <t xml:space="preserve">Buy Feature — GDD 13</t>
  </si>
  <si>
    <t xml:space="preserve">Cost (× Total Bet)</t>
  </si>
  <si>
    <t xml:space="preserve">Cost at Min Bet (10)</t>
  </si>
  <si>
    <t xml:space="preserve">Cost at Max Bet (1000)</t>
  </si>
  <si>
    <t xml:space="preserve">Enabled?</t>
  </si>
  <si>
    <t xml:space="preserve">Buy Free Spins</t>
  </si>
  <si>
    <t xml:space="preserve">Instant 10 FS (no scatter payout). Bet locked at purchase bet.</t>
  </si>
  <si>
    <t xml:space="preserve">Instant Wheel spin.</t>
  </si>
  <si>
    <t xml:space="preserve">UX Rules</t>
  </si>
  <si>
    <t xml:space="preserve">Confirmation</t>
  </si>
  <si>
    <t xml:space="preserve">Hold-to-confirm (1.0s hold) with circular progress ring</t>
  </si>
  <si>
    <t xml:space="preserve">Availability</t>
  </si>
  <si>
    <t xml:space="preserve">Hidden during features and Autoplay</t>
  </si>
  <si>
    <t xml:space="preserve">Affordability Check</t>
  </si>
  <si>
    <t xml:space="preserve">Greyed out when balance &lt; cost</t>
  </si>
  <si>
    <t xml:space="preserve">State Restriction</t>
  </si>
  <si>
    <t xml:space="preserve">Buy enabled in IDLE state only</t>
  </si>
  <si>
    <t xml:space="preserve">RTP Safety</t>
  </si>
  <si>
    <t xml:space="preserve">Costs tuned so buying does not exceed natural-play RTP</t>
  </si>
  <si>
    <t xml:space="preserve">Bet Levels &amp; Demo Economy — GDD 14</t>
  </si>
  <si>
    <t xml:space="preserve">Level</t>
  </si>
  <si>
    <t xml:space="preserve">Base Bet (coins)</t>
  </si>
  <si>
    <t xml:space="preserve">Total Bet (coins)</t>
  </si>
  <si>
    <t xml:space="preserve">Total Bet vs Default (%)</t>
  </si>
  <si>
    <t xml:space="preserve">Buy FS Cost</t>
  </si>
  <si>
    <t xml:space="preserve">Buy Wheel Cost</t>
  </si>
  <si>
    <t xml:space="preserve">Economy Rules — GDD 14.2 / 14.3 / 14.4</t>
  </si>
  <si>
    <t xml:space="preserve">50,000 coins (session-only)</t>
  </si>
  <si>
    <t xml:space="preserve">Level 4 (100 coin total bet)</t>
  </si>
  <si>
    <t xml:space="preserve">Persistence</t>
  </si>
  <si>
    <t xml:space="preserve">Session-only</t>
  </si>
  <si>
    <t xml:space="preserve">Cleared on browser close; settings persist via IndexedDB</t>
  </si>
  <si>
    <t xml:space="preserve">Auto-Reduce</t>
  </si>
  <si>
    <t xml:space="preserve">Enabled</t>
  </si>
  <si>
    <t xml:space="preserve">Balance &lt; bet → drop to highest affordable level</t>
  </si>
  <si>
    <t xml:space="preserve">Restart Trigger</t>
  </si>
  <si>
    <t xml:space="preserve">Balance = 0</t>
  </si>
  <si>
    <t xml:space="preserve">Session restart dialog with stats</t>
  </si>
  <si>
    <t xml:space="preserve">Min Playable Balance</t>
  </si>
  <si>
    <t xml:space="preserve">Below this: disable spin, prompt restart</t>
  </si>
  <si>
    <t xml:space="preserve">Session Duration Target</t>
  </si>
  <si>
    <t xml:space="preserve">5-15 min</t>
  </si>
  <si>
    <t xml:space="preserve">Casual slot session length (demo)</t>
  </si>
  <si>
    <t xml:space="preserve">RTP Target</t>
  </si>
  <si>
    <t xml:space="preserve">Demo RTP target — tune via math model</t>
  </si>
  <si>
    <t xml:space="preserve">Win Tiers &amp; Celebrations — GDD 7.6 / 15.5</t>
  </si>
  <si>
    <t xml:space="preserve">Min Multiple (× Bet)</t>
  </si>
  <si>
    <t xml:space="preserve">Max Multiple (× Bet)</t>
  </si>
  <si>
    <t xml:space="preserve">Celebration Duration (s)</t>
  </si>
  <si>
    <t xml:space="preserve">Skippable?</t>
  </si>
  <si>
    <t xml:space="preserve">Visual</t>
  </si>
  <si>
    <t xml:space="preserve">Audio</t>
  </si>
  <si>
    <t xml:space="preserve">Standard</t>
  </si>
  <si>
    <t xml:space="preserve">In-place text pulse</t>
  </si>
  <si>
    <t xml:space="preserve">Soft win chime</t>
  </si>
  <si>
    <t xml:space="preserve">Nice</t>
  </si>
  <si>
    <t xml:space="preserve">Enlarged counter + particles</t>
  </si>
  <si>
    <t xml:space="preserve">Ascending chime sequence</t>
  </si>
  <si>
    <t xml:space="preserve">Big</t>
  </si>
  <si>
    <t xml:space="preserve">Full-screen overlay + coin shower + fanfare</t>
  </si>
  <si>
    <t xml:space="preserve">Big Win fanfare (ducks music)</t>
  </si>
  <si>
    <t xml:space="preserve">Mega</t>
  </si>
  <si>
    <t xml:space="preserve">Extended celebration + screen shake</t>
  </si>
  <si>
    <t xml:space="preserve">Extended fanfare</t>
  </si>
  <si>
    <t xml:space="preserve">Super</t>
  </si>
  <si>
    <t xml:space="preserve">Maximum celebration + extended animations</t>
  </si>
  <si>
    <t xml:space="preserve">Super Win celebration loop</t>
  </si>
  <si>
    <t xml:space="preserve">RNG Call Registry — GDD 18.3 / 18.4</t>
  </si>
  <si>
    <t xml:space="preserve">Xorshift128+ PRNG. Single seeded instance per session. Future: swap via IOutcomeProvider interface.</t>
  </si>
  <si>
    <t xml:space="preserve">Calls per Event</t>
  </si>
  <si>
    <t xml:space="preserve">Typical Per Spin</t>
  </si>
  <si>
    <t xml:space="preserve">Mode</t>
  </si>
  <si>
    <t xml:space="preserve">IOutcomeProvider Method</t>
  </si>
  <si>
    <t xml:space="preserve">Reel Engine</t>
  </si>
  <si>
    <t xml:space="preserve">Stop position per reel</t>
  </si>
  <si>
    <t xml:space="preserve">5 per spin</t>
  </si>
  <si>
    <t xml:space="preserve">All</t>
  </si>
  <si>
    <t xml:space="preserve">GetReelStops(int reelCount)</t>
  </si>
  <si>
    <t xml:space="preserve">Exactly 5 calls per spin (one per reel)</t>
  </si>
  <si>
    <t xml:space="preserve">Golden Handler</t>
  </si>
  <si>
    <t xml:space="preserve">Overlay chance per cell</t>
  </si>
  <si>
    <t xml:space="preserve">Up to 15 per spin</t>
  </si>
  <si>
    <t xml:space="preserve">GetGoldenRoll(cellPosition)</t>
  </si>
  <si>
    <t xml:space="preserve">Max 15 = all 15 visible cells eligible</t>
  </si>
  <si>
    <t xml:space="preserve">Morph System</t>
  </si>
  <si>
    <t xml:space="preserve">Symbol selection</t>
  </si>
  <si>
    <t xml:space="preserve">1 per morphed cell</t>
  </si>
  <si>
    <t xml:space="preserve">On win</t>
  </si>
  <si>
    <t xml:space="preserve">GetMorphSymbol(pool)</t>
  </si>
  <si>
    <t xml:space="preserve">Variable based on win size</t>
  </si>
  <si>
    <t xml:space="preserve">Golden chance on fill</t>
  </si>
  <si>
    <t xml:space="preserve">1 per eligible cell</t>
  </si>
  <si>
    <t xml:space="preserve">On morph</t>
  </si>
  <si>
    <t xml:space="preserve">Only called for eligible reels</t>
  </si>
  <si>
    <t xml:space="preserve">Burst Feature</t>
  </si>
  <si>
    <t xml:space="preserve">Burst count</t>
  </si>
  <si>
    <t xml:space="preserve">1 per burst</t>
  </si>
  <si>
    <t xml:space="preserve">On W02 win</t>
  </si>
  <si>
    <t xml:space="preserve">GetBurstCount(mode)</t>
  </si>
  <si>
    <t xml:space="preserve">Returns 1–4 per weights</t>
  </si>
  <si>
    <t xml:space="preserve">Position selection</t>
  </si>
  <si>
    <t xml:space="preserve">1 per target cell</t>
  </si>
  <si>
    <t xml:space="preserve">GetBurstPositions(count, candidates)</t>
  </si>
  <si>
    <t xml:space="preserve">Up to 4 per burst</t>
  </si>
  <si>
    <t xml:space="preserve">Trigger check</t>
  </si>
  <si>
    <t xml:space="preserve">1 per spin</t>
  </si>
  <si>
    <t xml:space="preserve">GetWheelTriggerRoll()</t>
  </si>
  <si>
    <t xml:space="preserve">Checked after every chain resolution</t>
  </si>
  <si>
    <t xml:space="preserve">Segment outcome</t>
  </si>
  <si>
    <t xml:space="preserve">1 per wheel spin</t>
  </si>
  <si>
    <t xml:space="preserve">On trigger</t>
  </si>
  <si>
    <t xml:space="preserve">GetWheelSegment(weights)</t>
  </si>
  <si>
    <t xml:space="preserve">Determined before animation</t>
  </si>
  <si>
    <t xml:space="preserve">Animation params</t>
  </si>
  <si>
    <t xml:space="preserve">2 per wheel spin</t>
  </si>
  <si>
    <t xml:space="preserve">GetRandom01()</t>
  </si>
  <si>
    <t xml:space="preserve">Cosmetic — spin speed and duration variance</t>
  </si>
  <si>
    <t xml:space="preserve">Tier selection</t>
  </si>
  <si>
    <t xml:space="preserve">1 per jackpot</t>
  </si>
  <si>
    <t xml:space="preserve">On WH_JP</t>
  </si>
  <si>
    <t xml:space="preserve">GetJackpotTier(weights)</t>
  </si>
  <si>
    <t xml:space="preserve">Weighted Mini 50 / Minor 30 / Major 15 / Grand 5</t>
  </si>
  <si>
    <t xml:space="preserve">Hat appearance + relocation</t>
  </si>
  <si>
    <t xml:space="preserve">Variable</t>
  </si>
  <si>
    <t xml:space="preserve">On WH_MN</t>
  </si>
  <si>
    <t xml:space="preserve">Multiple — see implementation</t>
  </si>
  <si>
    <t xml:space="preserve">Per hat + per potential relocation</t>
  </si>
  <si>
    <t xml:space="preserve">Hat spaces + layout + prizes</t>
  </si>
  <si>
    <t xml:space="preserve">On WH_MH</t>
  </si>
  <si>
    <t xml:space="preserve">Hat count + positions + prize spin outcomes</t>
  </si>
  <si>
    <t xml:space="preserve">Typical RNG Calls per Spin Scenario — GDD 18.4</t>
  </si>
  <si>
    <t xml:space="preserve">No win</t>
  </si>
  <si>
    <t xml:space="preserve">12-16 calls</t>
  </si>
  <si>
    <t xml:space="preserve">Baseline — just reel stops + golden rolls + wheel check</t>
  </si>
  <si>
    <t xml:space="preserve">Single win with morph</t>
  </si>
  <si>
    <t xml:space="preserve">19-22 calls</t>
  </si>
  <si>
    <t xml:space="preserve">Adds morph selection + golden-on-fill</t>
  </si>
  <si>
    <t xml:space="preserve">3-step chain</t>
  </si>
  <si>
    <t xml:space="preserve">28-34 calls</t>
  </si>
  <si>
    <t xml:space="preserve">Cumulative morph + re-eval calls</t>
  </si>
  <si>
    <t xml:space="preserve">Chain with Golden burst</t>
  </si>
  <si>
    <t xml:space="preserve">38-43 calls</t>
  </si>
  <si>
    <t xml:space="preserve">Adds burst count + burst positions + extra goldens</t>
  </si>
  <si>
    <t xml:space="preserve">Full Free Spins session (10 spins)</t>
  </si>
  <si>
    <t xml:space="preserve">250-350 calls</t>
  </si>
  <si>
    <t xml:space="preserve">Retriggers and bursts boost upper range</t>
  </si>
  <si>
    <t xml:space="preserve">Systems with NO RNG (deterministic)</t>
  </si>
  <si>
    <t xml:space="preserve">• Win evaluation (payline matching)</t>
  </si>
  <si>
    <t xml:space="preserve">• Multiplier advancement (deterministic by chain step)</t>
  </si>
  <si>
    <t xml:space="preserve">• Scatter detection (count-based)</t>
  </si>
  <si>
    <t xml:space="preserve">• Balance updates (arithmetic)</t>
  </si>
  <si>
    <t xml:space="preserve">• Buzzsaw movement (left→right deterministic)</t>
  </si>
  <si>
    <t xml:space="preserve">• Animation timing (clock-based)</t>
  </si>
  <si>
    <t xml:space="preserve">• UI state changes (event-driven)</t>
  </si>
  <si>
    <t xml:space="preserve">Analytics Events — GDD 19</t>
  </si>
  <si>
    <t xml:space="preserve">Event ID</t>
  </si>
  <si>
    <t xml:space="preserve">Event Name</t>
  </si>
  <si>
    <t xml:space="preserve">Trigger</t>
  </si>
  <si>
    <t xml:space="preserve">Parameters</t>
  </si>
  <si>
    <t xml:space="preserve">Priority</t>
  </si>
  <si>
    <t xml:space="preserve">Platform</t>
  </si>
  <si>
    <t xml:space="preserve">GDPR Sensitive?</t>
  </si>
  <si>
    <t xml:space="preserve">AE01</t>
  </si>
  <si>
    <t xml:space="preserve">session_start</t>
  </si>
  <si>
    <t xml:space="preserve">Engagement</t>
  </si>
  <si>
    <t xml:space="preserve">Game loaded</t>
  </si>
  <si>
    <t xml:space="preserve">rngSeed, startingBalance, platform, appVersion, screenResolution</t>
  </si>
  <si>
    <t xml:space="preserve">Critical</t>
  </si>
  <si>
    <t xml:space="preserve">Client</t>
  </si>
  <si>
    <t xml:space="preserve">AE02</t>
  </si>
  <si>
    <t xml:space="preserve">session_end</t>
  </si>
  <si>
    <t xml:space="preserve">Player exits / tab close</t>
  </si>
  <si>
    <t xml:space="preserve">sessionDuration, totalSpins, totalWagered, totalWon, sessionRTP, endReason</t>
  </si>
  <si>
    <t xml:space="preserve">AE03</t>
  </si>
  <si>
    <t xml:space="preserve">spin</t>
  </si>
  <si>
    <t xml:space="preserve">Every spin initiated</t>
  </si>
  <si>
    <t xml:space="preserve">spinNumber, gameMode, betLevel, totalBet, spinType</t>
  </si>
  <si>
    <t xml:space="preserve">Important</t>
  </si>
  <si>
    <t xml:space="preserve">AE04</t>
  </si>
  <si>
    <t xml:space="preserve">spin_result</t>
  </si>
  <si>
    <t xml:space="preserve">Spin fully resolved</t>
  </si>
  <si>
    <t xml:space="preserve">totalWin, winMultiple, winTier, chainLength, maxMultiplier, paylinesWon, scatters, goldens, bursts</t>
  </si>
  <si>
    <t xml:space="preserve">AE05</t>
  </si>
  <si>
    <t xml:space="preserve">feature_trigger</t>
  </si>
  <si>
    <t xml:space="preserve">Progression</t>
  </si>
  <si>
    <t xml:space="preserve">Feature activated</t>
  </si>
  <si>
    <t xml:space="preserve">featureType, triggerSource, scatterCount, buyCost</t>
  </si>
  <si>
    <t xml:space="preserve">AE06</t>
  </si>
  <si>
    <t xml:space="preserve">free_spins_complete</t>
  </si>
  <si>
    <t xml:space="preserve">FS session ends</t>
  </si>
  <si>
    <t xml:space="preserve">totalSpins, retriggerCount, sessionTotalWin, longestChain, maxMultiplier, sessionDuration</t>
  </si>
  <si>
    <t xml:space="preserve">AE07</t>
  </si>
  <si>
    <t xml:space="preserve">wheel_feature_complete</t>
  </si>
  <si>
    <t xml:space="preserve">Wheel resolved</t>
  </si>
  <si>
    <t xml:space="preserve">wheelOutcome, totalWin, jackpotTier, mansionCount, buzzsawCount, hatSpaces</t>
  </si>
  <si>
    <t xml:space="preserve">AE08</t>
  </si>
  <si>
    <t xml:space="preserve">buy_feature</t>
  </si>
  <si>
    <t xml:space="preserve">Monetization</t>
  </si>
  <si>
    <t xml:space="preserve">Feature purchased</t>
  </si>
  <si>
    <t xml:space="preserve">featureType, cost, balanceBefore, balanceAfter</t>
  </si>
  <si>
    <t xml:space="preserve">AE09</t>
  </si>
  <si>
    <t xml:space="preserve">big_win</t>
  </si>
  <si>
    <t xml:space="preserve">Win ≥ 15× bet</t>
  </si>
  <si>
    <t xml:space="preserve">winTier, winAmount, winMultiple, source, celebrationSkipped</t>
  </si>
  <si>
    <t xml:space="preserve">AE10</t>
  </si>
  <si>
    <t xml:space="preserve">economy_restart</t>
  </si>
  <si>
    <t xml:space="preserve">Balance reset to starting</t>
  </si>
  <si>
    <t xml:space="preserve">restartNumber, spinsPlayed, totalWagered, totalWon, timeSinceLastRestart</t>
  </si>
  <si>
    <t xml:space="preserve">AE11</t>
  </si>
  <si>
    <t xml:space="preserve">bet_change</t>
  </si>
  <si>
    <t xml:space="preserve">Bet level changed</t>
  </si>
  <si>
    <t xml:space="preserve">previousBet, newBet, changeType, currentBalance</t>
  </si>
  <si>
    <t xml:space="preserve">Nice-to-have</t>
  </si>
  <si>
    <t xml:space="preserve">AE12</t>
  </si>
  <si>
    <t xml:space="preserve">autoplay_start</t>
  </si>
  <si>
    <t xml:space="preserve">Autoplay activated</t>
  </si>
  <si>
    <t xml:space="preserve">spinsRequested, totalBet, stopConditions</t>
  </si>
  <si>
    <t xml:space="preserve">AE13</t>
  </si>
  <si>
    <t xml:space="preserve">autoplay_stop</t>
  </si>
  <si>
    <t xml:space="preserve">Autoplay ended</t>
  </si>
  <si>
    <t xml:space="preserve">reason, spinsCompleted, totalWagered, totalWon, duration</t>
  </si>
  <si>
    <t xml:space="preserve">AE14</t>
  </si>
  <si>
    <t xml:space="preserve">error</t>
  </si>
  <si>
    <t xml:space="preserve">Technical</t>
  </si>
  <si>
    <t xml:space="preserve">Runtime error</t>
  </si>
  <si>
    <t xml:space="preserve">errorType, errorMessage, gameState, stackTrace, recoveryAction</t>
  </si>
  <si>
    <t xml:space="preserve">AE15</t>
  </si>
  <si>
    <t xml:space="preserve">settings_change</t>
  </si>
  <si>
    <t xml:space="preserve">Setting modified</t>
  </si>
  <si>
    <t xml:space="preserve">setting, previousValue, newValue</t>
  </si>
  <si>
    <t xml:space="preserve">Dispatch Rules — GDD 19.2</t>
  </si>
  <si>
    <t xml:space="preserve">Non-blocking async</t>
  </si>
  <si>
    <t xml:space="preserve">Batching</t>
  </si>
  <si>
    <t xml:space="preserve">50 events OR 30 seconds, whichever first</t>
  </si>
  <si>
    <t xml:space="preserve">Session End</t>
  </si>
  <si>
    <t xml:space="preserve">Forces synchronous flush</t>
  </si>
  <si>
    <t xml:space="preserve">Retry</t>
  </si>
  <si>
    <t xml:space="preserve">3 attempts on failure, then IndexedDB fallback</t>
  </si>
  <si>
    <t xml:space="preserve">PII</t>
  </si>
  <si>
    <t xml:space="preserve">None — no personally-identifying information</t>
  </si>
  <si>
    <t xml:space="preserve">String Cap</t>
  </si>
  <si>
    <t xml:space="preserve">All string fields capped at 256 chars</t>
  </si>
  <si>
    <t xml:space="preserve">Sounds &amp; Music — GDD 17.3 / 17.4</t>
  </si>
  <si>
    <t xml:space="preserve">Name</t>
  </si>
  <si>
    <t xml:space="preserve">Trigger Point</t>
  </si>
  <si>
    <t xml:space="preserve">Volume</t>
  </si>
  <si>
    <t xml:space="preserve">Loop</t>
  </si>
  <si>
    <t xml:space="preserve">MU01</t>
  </si>
  <si>
    <t xml:space="preserve">Music</t>
  </si>
  <si>
    <t xml:space="preserve">Base Game Theme</t>
  </si>
  <si>
    <t xml:space="preserve">In IDLE state during base game</t>
  </si>
  <si>
    <t xml:space="preserve">120 BPM upbeat casino jazz</t>
  </si>
  <si>
    <t xml:space="preserve">MU02</t>
  </si>
  <si>
    <t xml:space="preserve">Free Spins Theme</t>
  </si>
  <si>
    <t xml:space="preserve">On FS session start</t>
  </si>
  <si>
    <t xml:space="preserve">135 BPM elevated energy</t>
  </si>
  <si>
    <t xml:space="preserve">MU03</t>
  </si>
  <si>
    <t xml:space="preserve">Wheel Feature Theme</t>
  </si>
  <si>
    <t xml:space="preserve">On Wheel trigger</t>
  </si>
  <si>
    <t xml:space="preserve">100 BPM dramatic game show</t>
  </si>
  <si>
    <t xml:space="preserve">MU04</t>
  </si>
  <si>
    <t xml:space="preserve">Bonus Resolution</t>
  </si>
  <si>
    <t xml:space="preserve">On bonus sub-game start</t>
  </si>
  <si>
    <t xml:space="preserve">110 BPM whimsical adventure</t>
  </si>
  <si>
    <t xml:space="preserve">MU05</t>
  </si>
  <si>
    <t xml:space="preserve">On Big+ tier win</t>
  </si>
  <si>
    <t xml:space="preserve">140 BPM triumphant fanfare (plays once)</t>
  </si>
  <si>
    <t xml:space="preserve">SFX01</t>
  </si>
  <si>
    <t xml:space="preserve">SFX Primary</t>
  </si>
  <si>
    <t xml:space="preserve">Spin Start</t>
  </si>
  <si>
    <t xml:space="preserve">On spin button / autoplay tick</t>
  </si>
  <si>
    <t xml:space="preserve">Reel acceleration whoosh</t>
  </si>
  <si>
    <t xml:space="preserve">SFX02</t>
  </si>
  <si>
    <t xml:space="preserve">Reel Stop</t>
  </si>
  <si>
    <t xml:space="preserve">Per reel stop (5× per spin)</t>
  </si>
  <si>
    <t xml:space="preserve">Mechanical click</t>
  </si>
  <si>
    <t xml:space="preserve">SFX03</t>
  </si>
  <si>
    <t xml:space="preserve">Reel Anticipation</t>
  </si>
  <si>
    <t xml:space="preserve">3+ matches on stopped reels</t>
  </si>
  <si>
    <t xml:space="preserve">Rising pitch loop</t>
  </si>
  <si>
    <t xml:space="preserve">SFX04</t>
  </si>
  <si>
    <t xml:space="preserve">Win Standard</t>
  </si>
  <si>
    <t xml:space="preserve">&lt; 5× bet win</t>
  </si>
  <si>
    <t xml:space="preserve">Soft chime</t>
  </si>
  <si>
    <t xml:space="preserve">SFX05</t>
  </si>
  <si>
    <t xml:space="preserve">Win Nice</t>
  </si>
  <si>
    <t xml:space="preserve">5-15× bet win</t>
  </si>
  <si>
    <t xml:space="preserve">Ascending chime seq</t>
  </si>
  <si>
    <t xml:space="preserve">SFX06</t>
  </si>
  <si>
    <t xml:space="preserve">Win Big</t>
  </si>
  <si>
    <t xml:space="preserve">15-30× bet win</t>
  </si>
  <si>
    <t xml:space="preserve">Fanfare + crowd</t>
  </si>
  <si>
    <t xml:space="preserve">SFX07</t>
  </si>
  <si>
    <t xml:space="preserve">Win Mega</t>
  </si>
  <si>
    <t xml:space="preserve">30-50× bet win</t>
  </si>
  <si>
    <t xml:space="preserve">SFX08</t>
  </si>
  <si>
    <t xml:space="preserve">Win Super</t>
  </si>
  <si>
    <t xml:space="preserve">50×+ bet win</t>
  </si>
  <si>
    <t xml:space="preserve">Super Win loop</t>
  </si>
  <si>
    <t xml:space="preserve">SFX09</t>
  </si>
  <si>
    <t xml:space="preserve">SFX Secondary</t>
  </si>
  <si>
    <t xml:space="preserve">Morph Dissolve</t>
  </si>
  <si>
    <t xml:space="preserve">Per morph step start</t>
  </si>
  <si>
    <t xml:space="preserve">Crystalline shatter</t>
  </si>
  <si>
    <t xml:space="preserve">SFX10</t>
  </si>
  <si>
    <t xml:space="preserve">Morph Appear</t>
  </si>
  <si>
    <t xml:space="preserve">Per morph step fill</t>
  </si>
  <si>
    <t xml:space="preserve">Magical pop</t>
  </si>
  <si>
    <t xml:space="preserve">SFX11</t>
  </si>
  <si>
    <t xml:space="preserve">Multiplier Advance</t>
  </si>
  <si>
    <t xml:space="preserve">Per multiplier step</t>
  </si>
  <si>
    <t xml:space="preserve">Pitched bell — higher each step</t>
  </si>
  <si>
    <t xml:space="preserve">SFX12</t>
  </si>
  <si>
    <t xml:space="preserve">Multiplier Cap</t>
  </si>
  <si>
    <t xml:space="preserve">When reaching max mult</t>
  </si>
  <si>
    <t xml:space="preserve">Triumphant chord</t>
  </si>
  <si>
    <t xml:space="preserve">SFX13</t>
  </si>
  <si>
    <t xml:space="preserve">Golden Land</t>
  </si>
  <si>
    <t xml:space="preserve">Golden overlay appears</t>
  </si>
  <si>
    <t xml:space="preserve">Metallic shimmer</t>
  </si>
  <si>
    <t xml:space="preserve">SFX14</t>
  </si>
  <si>
    <t xml:space="preserve">Golden Convert</t>
  </si>
  <si>
    <t xml:space="preserve">G01 → W02 conversion</t>
  </si>
  <si>
    <t xml:space="preserve">Ascending glissando</t>
  </si>
  <si>
    <t xml:space="preserve">SFX15</t>
  </si>
  <si>
    <t xml:space="preserve">Burst Impact</t>
  </si>
  <si>
    <t xml:space="preserve">W02 bursts</t>
  </si>
  <si>
    <t xml:space="preserve">Explosive impact</t>
  </si>
  <si>
    <t xml:space="preserve">SFX16</t>
  </si>
  <si>
    <t xml:space="preserve">Burst Expand</t>
  </si>
  <si>
    <t xml:space="preserve">Burst target cells lit</t>
  </si>
  <si>
    <t xml:space="preserve">Energy wave</t>
  </si>
  <si>
    <t xml:space="preserve">SFX17</t>
  </si>
  <si>
    <t xml:space="preserve">Scatter Land</t>
  </si>
  <si>
    <t xml:space="preserve">SC01 appears</t>
  </si>
  <si>
    <t xml:space="preserve">Magical chime</t>
  </si>
  <si>
    <t xml:space="preserve">SFX18</t>
  </si>
  <si>
    <t xml:space="preserve">Scatter Win</t>
  </si>
  <si>
    <t xml:space="preserve">3+ scatters detected</t>
  </si>
  <si>
    <t xml:space="preserve">Screen sting</t>
  </si>
  <si>
    <t xml:space="preserve">SFX19</t>
  </si>
  <si>
    <t xml:space="preserve">SFX Celebration</t>
  </si>
  <si>
    <t xml:space="preserve">FS Intro</t>
  </si>
  <si>
    <t xml:space="preserve">Free Spins session start</t>
  </si>
  <si>
    <t xml:space="preserve">Dramatic swell</t>
  </si>
  <si>
    <t xml:space="preserve">SFX20</t>
  </si>
  <si>
    <t xml:space="preserve">FS Retrigger</t>
  </si>
  <si>
    <t xml:space="preserve">Retrigger during FS</t>
  </si>
  <si>
    <t xml:space="preserve">Bonus extension chime</t>
  </si>
  <si>
    <t xml:space="preserve">SFX21</t>
  </si>
  <si>
    <t xml:space="preserve">FS End</t>
  </si>
  <si>
    <t xml:space="preserve">Total win tally swell</t>
  </si>
  <si>
    <t xml:space="preserve">SFX22</t>
  </si>
  <si>
    <t xml:space="preserve">Wheel Spin</t>
  </si>
  <si>
    <t xml:space="preserve">Wheel begins spin</t>
  </si>
  <si>
    <t xml:space="preserve">Carnival spin loop</t>
  </si>
  <si>
    <t xml:space="preserve">SFX23</t>
  </si>
  <si>
    <t xml:space="preserve">Wheel Tick</t>
  </si>
  <si>
    <t xml:space="preserve">Pointer passes segment</t>
  </si>
  <si>
    <t xml:space="preserve">Quick tick (slows with deceleration)</t>
  </si>
  <si>
    <t xml:space="preserve">SFX24</t>
  </si>
  <si>
    <t xml:space="preserve">Wheel Land</t>
  </si>
  <si>
    <t xml:space="preserve">Wheel lands on segment</t>
  </si>
  <si>
    <t xml:space="preserve">Impact + reveal chord</t>
  </si>
  <si>
    <t xml:space="preserve">SFX25</t>
  </si>
  <si>
    <t xml:space="preserve">Jackpot Reveal</t>
  </si>
  <si>
    <t xml:space="preserve">Jackpot tier revealed</t>
  </si>
  <si>
    <t xml:space="preserve">Jackpot siren</t>
  </si>
  <si>
    <t xml:space="preserve">UI01</t>
  </si>
  <si>
    <t xml:space="preserve">SFX UI</t>
  </si>
  <si>
    <t xml:space="preserve">Button Click</t>
  </si>
  <si>
    <t xml:space="preserve">Generic button press</t>
  </si>
  <si>
    <t xml:space="preserve">UI click</t>
  </si>
  <si>
    <t xml:space="preserve">UI02</t>
  </si>
  <si>
    <t xml:space="preserve">Toggle</t>
  </si>
  <si>
    <t xml:space="preserve">Setting toggle</t>
  </si>
  <si>
    <t xml:space="preserve">Switch flip</t>
  </si>
  <si>
    <t xml:space="preserve">UI03</t>
  </si>
  <si>
    <t xml:space="preserve">Slider</t>
  </si>
  <si>
    <t xml:space="preserve">Volume slider adjust</t>
  </si>
  <si>
    <t xml:space="preserve">Tick per position</t>
  </si>
  <si>
    <t xml:space="preserve">UI04</t>
  </si>
  <si>
    <t xml:space="preserve">Dialog Open</t>
  </si>
  <si>
    <t xml:space="preserve">Confirmation dialog</t>
  </si>
  <si>
    <t xml:space="preserve">UI05</t>
  </si>
  <si>
    <t xml:space="preserve">Dialog Close</t>
  </si>
  <si>
    <t xml:space="preserve">Dialog dismiss</t>
  </si>
  <si>
    <t xml:space="preserve">Soft swoosh</t>
  </si>
  <si>
    <t xml:space="preserve">UI06</t>
  </si>
  <si>
    <t xml:space="preserve">Bet Change</t>
  </si>
  <si>
    <t xml:space="preserve">Bet up/down</t>
  </si>
  <si>
    <t xml:space="preserve">Quick up/down tone</t>
  </si>
  <si>
    <t xml:space="preserve">UI07</t>
  </si>
  <si>
    <t xml:space="preserve">Balance Refill</t>
  </si>
  <si>
    <t xml:space="preserve">Session restart</t>
  </si>
  <si>
    <t xml:space="preserve">Coin cascade</t>
  </si>
  <si>
    <t xml:space="preserve">Total Tracks / SFX</t>
  </si>
  <si>
    <t xml:space="preserve">Target: 5 music + ~35 SFX (GDD 17.4)</t>
  </si>
  <si>
    <t xml:space="preserve">Configuration File Index — GDD Appendix D</t>
  </si>
  <si>
    <t xml:space="preserve">All 18 JSON configs in StreamingAssets/Config/ — loaded at runtime via UnityWebRequest.</t>
  </si>
  <si>
    <t xml:space="preserve">File Name</t>
  </si>
  <si>
    <t xml:space="preserve">Contents</t>
  </si>
  <si>
    <t xml:space="preserve">Owner</t>
  </si>
  <si>
    <t xml:space="preserve">Linked Sheet</t>
  </si>
  <si>
    <t xml:space="preserve">Load Phase</t>
  </si>
  <si>
    <t xml:space="preserve">reel_config.json</t>
  </si>
  <si>
    <t xml:space="preserve">Reel strip arrays (base + FS), strip lengths</t>
  </si>
  <si>
    <t xml:space="preserve">Phase 2</t>
  </si>
  <si>
    <t xml:space="preserve">paytable_config.json</t>
  </si>
  <si>
    <t xml:space="preserve">Symbol payout values (×3/×4/×5)</t>
  </si>
  <si>
    <t xml:space="preserve">paylines_config.json</t>
  </si>
  <si>
    <t xml:space="preserve">10 payline patterns (row per reel)</t>
  </si>
  <si>
    <t xml:space="preserve">morph_pool_config.json</t>
  </si>
  <si>
    <t xml:space="preserve">Morph symbol weights (base + FS)</t>
  </si>
  <si>
    <t xml:space="preserve">golden_config.json</t>
  </si>
  <si>
    <t xml:space="preserve">Golden eligible reels, chance per reel</t>
  </si>
  <si>
    <t xml:space="preserve">burst_config.json</t>
  </si>
  <si>
    <t xml:space="preserve">Burst count weights, burst symbol</t>
  </si>
  <si>
    <t xml:space="preserve">multiplier_config.json</t>
  </si>
  <si>
    <t xml:space="preserve">Multiplier sequences (base + FS)</t>
  </si>
  <si>
    <t xml:space="preserve">scatter_config.json</t>
  </si>
  <si>
    <t xml:space="preserve">Scatter payouts, retrigger awards</t>
  </si>
  <si>
    <t xml:space="preserve">wheel_config.json</t>
  </si>
  <si>
    <t xml:space="preserve">Trigger chances, segment weights</t>
  </si>
  <si>
    <t xml:space="preserve">jackpot_config.json</t>
  </si>
  <si>
    <t xml:space="preserve">Tier values, bet scaling, tier weights</t>
  </si>
  <si>
    <t xml:space="preserve">mansion_config.json</t>
  </si>
  <si>
    <t xml:space="preserve">Payout table, hat chance, full-screen bonus</t>
  </si>
  <si>
    <t xml:space="preserve">Phase 4 (lazy)</t>
  </si>
  <si>
    <t xml:space="preserve">buzzsaw_config.json</t>
  </si>
  <si>
    <t xml:space="preserve">Border pay values</t>
  </si>
  <si>
    <t xml:space="preserve">megahat_config.json</t>
  </si>
  <si>
    <t xml:space="preserve">Hat spaces weights, prize params</t>
  </si>
  <si>
    <t xml:space="preserve">buy_feature_config.json</t>
  </si>
  <si>
    <t xml:space="preserve">Buy costs, enable flags</t>
  </si>
  <si>
    <t xml:space="preserve">Game Design</t>
  </si>
  <si>
    <t xml:space="preserve">bet_config.json</t>
  </si>
  <si>
    <t xml:space="preserve">Bet levels, payline count</t>
  </si>
  <si>
    <t xml:space="preserve">economy_config.json</t>
  </si>
  <si>
    <t xml:space="preserve">Starting balance, restart rules</t>
  </si>
  <si>
    <t xml:space="preserve">win_tiers_config.json</t>
  </si>
  <si>
    <t xml:space="preserve">Celebration thresholds</t>
  </si>
  <si>
    <t xml:space="preserve">analytics_config.json</t>
  </si>
  <si>
    <t xml:space="preserve">SDK settings, batch params</t>
  </si>
  <si>
    <t xml:space="preserve">Client Tech</t>
  </si>
  <si>
    <t xml:space="preserve">Total Configs</t>
  </si>
  <si>
    <t xml:space="preserve">Target: 18 per GDD Appendix D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</si>
</sst>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%"/>
    <numFmt numFmtId="166" formatCode="0.000"/>
    <numFmt numFmtId="167" formatCode="0.00"/>
    <numFmt numFmtId="168" formatCode="0.0"/>
    <numFmt numFmtId="169" formatCode="#,##0"/>
    <numFmt numFmtId="170" formatCode="0"/>
    <numFmt numFmtId="171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sz val="10"/>
      <color rgb="FFC00000"/>
      <name val="Arial"/>
      <family val="0"/>
      <charset val="1"/>
    </font>
    <font>
      <sz val="10"/>
      <name val="Consolas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7030A0"/>
      <rgbColor rgb="FFFFF2CC"/>
      <rgbColor rgb="FFCCFFFF"/>
      <rgbColor rgb="FF660066"/>
      <rgbColor rgb="FFFF8080"/>
      <rgbColor rgb="FF0563C1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ED7D31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uffAndPuff_DesignSheet_v1.0.xlsx" TargetMode="External"/><Relationship Id="rId2" Type="http://schemas.openxmlformats.org/officeDocument/2006/relationships/hyperlink" Target="HuffAndPuff_DesignSheet_v1.0.xlsx" TargetMode="External"/><Relationship Id="rId3" Type="http://schemas.openxmlformats.org/officeDocument/2006/relationships/hyperlink" Target="HuffAndPuff_DesignSheet_v1.0.xlsx" TargetMode="External"/><Relationship Id="rId4" Type="http://schemas.openxmlformats.org/officeDocument/2006/relationships/hyperlink" Target="HuffAndPuff_DesignSheet_v1.0.xlsx" TargetMode="External"/><Relationship Id="rId5" Type="http://schemas.openxmlformats.org/officeDocument/2006/relationships/hyperlink" Target="HuffAndPuff_DesignSheet_v1.0.xlsx" TargetMode="External"/><Relationship Id="rId6" Type="http://schemas.openxmlformats.org/officeDocument/2006/relationships/hyperlink" Target="HuffAndPuff_DesignSheet_v1.0.xlsx" TargetMode="External"/><Relationship Id="rId7" Type="http://schemas.openxmlformats.org/officeDocument/2006/relationships/hyperlink" Target="HuffAndPuff_DesignSheet_v1.0.xlsx" TargetMode="External"/><Relationship Id="rId8" Type="http://schemas.openxmlformats.org/officeDocument/2006/relationships/hyperlink" Target="HuffAndPuff_DesignSheet_v1.0.xlsx" TargetMode="External"/><Relationship Id="rId9" Type="http://schemas.openxmlformats.org/officeDocument/2006/relationships/hyperlink" Target="HuffAndPuff_DesignSheet_v1.0.xlsx" TargetMode="External"/><Relationship Id="rId10" Type="http://schemas.openxmlformats.org/officeDocument/2006/relationships/hyperlink" Target="HuffAndPuff_DesignSheet_v1.0.xlsx" TargetMode="External"/><Relationship Id="rId11" Type="http://schemas.openxmlformats.org/officeDocument/2006/relationships/hyperlink" Target="HuffAndPuff_DesignSheet_v1.0.xlsx" TargetMode="External"/><Relationship Id="rId12" Type="http://schemas.openxmlformats.org/officeDocument/2006/relationships/hyperlink" Target="HuffAndPuff_DesignSheet_v1.0.xlsx" TargetMode="External"/><Relationship Id="rId13" Type="http://schemas.openxmlformats.org/officeDocument/2006/relationships/hyperlink" Target="HuffAndPuff_DesignSheet_v1.0.xlsx" TargetMode="External"/><Relationship Id="rId14" Type="http://schemas.openxmlformats.org/officeDocument/2006/relationships/hyperlink" Target="HuffAndPuff_DesignSheet_v1.0.xlsx" TargetMode="External"/><Relationship Id="rId15" Type="http://schemas.openxmlformats.org/officeDocument/2006/relationships/hyperlink" Target="HuffAndPuff_DesignSheet_v1.0.xlsx" TargetMode="External"/><Relationship Id="rId16" Type="http://schemas.openxmlformats.org/officeDocument/2006/relationships/hyperlink" Target="HuffAndPuff_DesignSheet_v1.0.xlsx" TargetMode="External"/><Relationship Id="rId17" Type="http://schemas.openxmlformats.org/officeDocument/2006/relationships/hyperlink" Target="HuffAndPuff_DesignSheet_v1.0.xlsx" TargetMode="External"/><Relationship Id="rId18" Type="http://schemas.openxmlformats.org/officeDocument/2006/relationships/hyperlink" Target="HuffAndPuff_DesignSheet_v1.0.xlsx" TargetMode="External"/><Relationship Id="rId19" Type="http://schemas.openxmlformats.org/officeDocument/2006/relationships/hyperlink" Target="HuffAndPuff_DesignSheet_v1.0.xlsx" TargetMode="External"/><Relationship Id="rId20" Type="http://schemas.openxmlformats.org/officeDocument/2006/relationships/hyperlink" Target="HuffAndPuff_DesignSheet_v1.0.xlsx" TargetMode="External"/><Relationship Id="rId21" Type="http://schemas.openxmlformats.org/officeDocument/2006/relationships/hyperlink" Target="HuffAndPuff_DesignSheet_v1.0.xlsx" TargetMode="External"/><Relationship Id="rId22" Type="http://schemas.openxmlformats.org/officeDocument/2006/relationships/hyperlink" Target="HuffAndPuff_DesignSheet_v1.0.xlsx" TargetMode="External"/><Relationship Id="rId23" Type="http://schemas.openxmlformats.org/officeDocument/2006/relationships/hyperlink" Target="HuffAndPuff_DesignSheet_v1.0.xlsx" TargetMode="External"/><Relationship Id="rId24" Type="http://schemas.openxmlformats.org/officeDocument/2006/relationships/hyperlink" Target="HuffAndPuff_DesignSheet_v1.0.xlsx" TargetMode="External"/><Relationship Id="rId25" Type="http://schemas.openxmlformats.org/officeDocument/2006/relationships/hyperlink" Target="HuffAndPuff_DesignSheet_v1.0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D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70"/>
  </cols>
  <sheetData>
    <row r="1" customFormat="false" ht="22.0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3" customFormat="false" ht="15" hidden="false" customHeight="false" outlineLevel="0" collapsed="false">
      <c r="A3" s="2" t="s">
        <v>2</v>
      </c>
      <c r="B3" s="2"/>
      <c r="C3" s="2"/>
      <c r="D3" s="2"/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4" t="s">
        <v>4</v>
      </c>
      <c r="B6" s="5" t="s">
        <v>5</v>
      </c>
    </row>
    <row r="7" customFormat="false" ht="15" hidden="false" customHeight="false" outlineLevel="0" collapsed="false">
      <c r="A7" s="6" t="s">
        <v>6</v>
      </c>
      <c r="B7" s="5" t="s">
        <v>7</v>
      </c>
    </row>
    <row r="8" customFormat="false" ht="15" hidden="false" customHeight="false" outlineLevel="0" collapsed="false">
      <c r="A8" s="7" t="s">
        <v>8</v>
      </c>
      <c r="B8" s="5" t="s">
        <v>9</v>
      </c>
    </row>
    <row r="9" customFormat="false" ht="15" hidden="false" customHeight="false" outlineLevel="0" collapsed="false">
      <c r="A9" s="8" t="s">
        <v>10</v>
      </c>
      <c r="B9" s="5" t="s">
        <v>11</v>
      </c>
    </row>
    <row r="12" customFormat="false" ht="15" hidden="false" customHeight="false" outlineLevel="0" collapsed="false">
      <c r="A12" s="9" t="s">
        <v>12</v>
      </c>
      <c r="B12" s="9" t="s">
        <v>13</v>
      </c>
      <c r="C12" s="9" t="s">
        <v>14</v>
      </c>
      <c r="D12" s="9" t="s">
        <v>15</v>
      </c>
    </row>
    <row r="13" customFormat="false" ht="15" hidden="false" customHeight="false" outlineLevel="0" collapsed="false">
      <c r="A13" s="10" t="n">
        <v>1</v>
      </c>
      <c r="B13" s="11" t="s">
        <v>16</v>
      </c>
      <c r="C13" s="12" t="s">
        <v>17</v>
      </c>
      <c r="D13" s="12" t="s">
        <v>18</v>
      </c>
    </row>
    <row r="14" customFormat="false" ht="15" hidden="false" customHeight="false" outlineLevel="0" collapsed="false">
      <c r="A14" s="10" t="n">
        <v>2</v>
      </c>
      <c r="B14" s="11" t="s">
        <v>19</v>
      </c>
      <c r="C14" s="12" t="s">
        <v>17</v>
      </c>
      <c r="D14" s="12" t="s">
        <v>20</v>
      </c>
    </row>
    <row r="15" customFormat="false" ht="15" hidden="false" customHeight="false" outlineLevel="0" collapsed="false">
      <c r="A15" s="10" t="n">
        <v>3</v>
      </c>
      <c r="B15" s="11" t="s">
        <v>21</v>
      </c>
      <c r="C15" s="12" t="s">
        <v>22</v>
      </c>
      <c r="D15" s="12" t="s">
        <v>23</v>
      </c>
    </row>
    <row r="16" customFormat="false" ht="15" hidden="false" customHeight="false" outlineLevel="0" collapsed="false">
      <c r="A16" s="10" t="n">
        <v>4</v>
      </c>
      <c r="B16" s="11" t="s">
        <v>24</v>
      </c>
      <c r="C16" s="12" t="s">
        <v>22</v>
      </c>
      <c r="D16" s="12" t="s">
        <v>25</v>
      </c>
    </row>
    <row r="17" customFormat="false" ht="15" hidden="false" customHeight="false" outlineLevel="0" collapsed="false">
      <c r="A17" s="10" t="n">
        <v>5</v>
      </c>
      <c r="B17" s="11" t="s">
        <v>26</v>
      </c>
      <c r="C17" s="12" t="s">
        <v>22</v>
      </c>
      <c r="D17" s="12" t="s">
        <v>27</v>
      </c>
    </row>
    <row r="18" customFormat="false" ht="15" hidden="false" customHeight="false" outlineLevel="0" collapsed="false">
      <c r="A18" s="10" t="n">
        <v>6</v>
      </c>
      <c r="B18" s="11" t="s">
        <v>28</v>
      </c>
      <c r="C18" s="12" t="s">
        <v>22</v>
      </c>
      <c r="D18" s="12" t="s">
        <v>29</v>
      </c>
    </row>
    <row r="19" customFormat="false" ht="15" hidden="false" customHeight="false" outlineLevel="0" collapsed="false">
      <c r="A19" s="10" t="n">
        <v>7</v>
      </c>
      <c r="B19" s="11" t="s">
        <v>30</v>
      </c>
      <c r="C19" s="12" t="s">
        <v>22</v>
      </c>
      <c r="D19" s="12" t="s">
        <v>31</v>
      </c>
    </row>
    <row r="20" customFormat="false" ht="15" hidden="false" customHeight="false" outlineLevel="0" collapsed="false">
      <c r="A20" s="10" t="n">
        <v>8</v>
      </c>
      <c r="B20" s="11" t="s">
        <v>32</v>
      </c>
      <c r="C20" s="12" t="s">
        <v>33</v>
      </c>
      <c r="D20" s="12" t="s">
        <v>34</v>
      </c>
    </row>
    <row r="21" customFormat="false" ht="15" hidden="false" customHeight="false" outlineLevel="0" collapsed="false">
      <c r="A21" s="10" t="n">
        <v>9</v>
      </c>
      <c r="B21" s="11" t="s">
        <v>35</v>
      </c>
      <c r="C21" s="12" t="s">
        <v>33</v>
      </c>
      <c r="D21" s="12" t="s">
        <v>36</v>
      </c>
    </row>
    <row r="22" customFormat="false" ht="15" hidden="false" customHeight="false" outlineLevel="0" collapsed="false">
      <c r="A22" s="10" t="n">
        <v>10</v>
      </c>
      <c r="B22" s="11" t="s">
        <v>37</v>
      </c>
      <c r="C22" s="12" t="s">
        <v>38</v>
      </c>
      <c r="D22" s="12" t="s">
        <v>39</v>
      </c>
    </row>
    <row r="23" customFormat="false" ht="15" hidden="false" customHeight="false" outlineLevel="0" collapsed="false">
      <c r="A23" s="10" t="n">
        <v>11</v>
      </c>
      <c r="B23" s="11" t="s">
        <v>40</v>
      </c>
      <c r="C23" s="12" t="s">
        <v>38</v>
      </c>
      <c r="D23" s="12" t="s">
        <v>41</v>
      </c>
    </row>
    <row r="24" customFormat="false" ht="15" hidden="false" customHeight="false" outlineLevel="0" collapsed="false">
      <c r="A24" s="10" t="n">
        <v>12</v>
      </c>
      <c r="B24" s="11" t="s">
        <v>42</v>
      </c>
      <c r="C24" s="12" t="s">
        <v>33</v>
      </c>
      <c r="D24" s="12" t="s">
        <v>43</v>
      </c>
    </row>
    <row r="25" customFormat="false" ht="15" hidden="false" customHeight="false" outlineLevel="0" collapsed="false">
      <c r="A25" s="10" t="n">
        <v>13</v>
      </c>
      <c r="B25" s="11" t="s">
        <v>44</v>
      </c>
      <c r="C25" s="12" t="s">
        <v>38</v>
      </c>
      <c r="D25" s="12" t="s">
        <v>45</v>
      </c>
    </row>
    <row r="26" customFormat="false" ht="15" hidden="false" customHeight="false" outlineLevel="0" collapsed="false">
      <c r="A26" s="10" t="n">
        <v>14</v>
      </c>
      <c r="B26" s="11" t="s">
        <v>46</v>
      </c>
      <c r="C26" s="12" t="s">
        <v>38</v>
      </c>
      <c r="D26" s="12" t="s">
        <v>47</v>
      </c>
    </row>
    <row r="27" customFormat="false" ht="15" hidden="false" customHeight="false" outlineLevel="0" collapsed="false">
      <c r="A27" s="10" t="n">
        <v>15</v>
      </c>
      <c r="B27" s="11" t="s">
        <v>48</v>
      </c>
      <c r="C27" s="12" t="s">
        <v>49</v>
      </c>
      <c r="D27" s="12" t="s">
        <v>50</v>
      </c>
    </row>
    <row r="28" customFormat="false" ht="15" hidden="false" customHeight="false" outlineLevel="0" collapsed="false">
      <c r="A28" s="10" t="n">
        <v>16</v>
      </c>
      <c r="B28" s="11" t="s">
        <v>51</v>
      </c>
      <c r="C28" s="12" t="s">
        <v>49</v>
      </c>
      <c r="D28" s="12" t="s">
        <v>52</v>
      </c>
    </row>
    <row r="29" customFormat="false" ht="15" hidden="false" customHeight="false" outlineLevel="0" collapsed="false">
      <c r="A29" s="10" t="n">
        <v>17</v>
      </c>
      <c r="B29" s="11" t="s">
        <v>53</v>
      </c>
      <c r="C29" s="12" t="s">
        <v>49</v>
      </c>
      <c r="D29" s="12" t="s">
        <v>54</v>
      </c>
    </row>
    <row r="30" customFormat="false" ht="15" hidden="false" customHeight="false" outlineLevel="0" collapsed="false">
      <c r="A30" s="10" t="n">
        <v>18</v>
      </c>
      <c r="B30" s="11" t="s">
        <v>55</v>
      </c>
      <c r="C30" s="12" t="s">
        <v>49</v>
      </c>
      <c r="D30" s="12" t="s">
        <v>56</v>
      </c>
    </row>
    <row r="31" customFormat="false" ht="15" hidden="false" customHeight="false" outlineLevel="0" collapsed="false">
      <c r="A31" s="10" t="n">
        <v>19</v>
      </c>
      <c r="B31" s="11" t="s">
        <v>57</v>
      </c>
      <c r="C31" s="12" t="s">
        <v>38</v>
      </c>
      <c r="D31" s="12" t="s">
        <v>58</v>
      </c>
    </row>
    <row r="32" customFormat="false" ht="15" hidden="false" customHeight="false" outlineLevel="0" collapsed="false">
      <c r="A32" s="10" t="n">
        <v>20</v>
      </c>
      <c r="B32" s="11" t="s">
        <v>59</v>
      </c>
      <c r="C32" s="12" t="s">
        <v>33</v>
      </c>
      <c r="D32" s="12" t="s">
        <v>60</v>
      </c>
    </row>
    <row r="33" customFormat="false" ht="15" hidden="false" customHeight="false" outlineLevel="0" collapsed="false">
      <c r="A33" s="10" t="n">
        <v>21</v>
      </c>
      <c r="B33" s="11" t="s">
        <v>61</v>
      </c>
      <c r="C33" s="12" t="s">
        <v>33</v>
      </c>
      <c r="D33" s="12" t="s">
        <v>62</v>
      </c>
    </row>
    <row r="34" customFormat="false" ht="15" hidden="false" customHeight="false" outlineLevel="0" collapsed="false">
      <c r="A34" s="10" t="n">
        <v>22</v>
      </c>
      <c r="B34" s="11" t="s">
        <v>63</v>
      </c>
      <c r="C34" s="12" t="s">
        <v>64</v>
      </c>
      <c r="D34" s="12" t="s">
        <v>65</v>
      </c>
    </row>
    <row r="35" customFormat="false" ht="15" hidden="false" customHeight="false" outlineLevel="0" collapsed="false">
      <c r="A35" s="10" t="n">
        <v>23</v>
      </c>
      <c r="B35" s="11" t="s">
        <v>66</v>
      </c>
      <c r="C35" s="12" t="s">
        <v>64</v>
      </c>
      <c r="D35" s="12" t="s">
        <v>67</v>
      </c>
    </row>
    <row r="36" customFormat="false" ht="15" hidden="false" customHeight="false" outlineLevel="0" collapsed="false">
      <c r="A36" s="10" t="n">
        <v>24</v>
      </c>
      <c r="B36" s="11" t="s">
        <v>68</v>
      </c>
      <c r="C36" s="12" t="s">
        <v>69</v>
      </c>
      <c r="D36" s="12" t="s">
        <v>70</v>
      </c>
    </row>
    <row r="37" customFormat="false" ht="15" hidden="false" customHeight="false" outlineLevel="0" collapsed="false">
      <c r="A37" s="10" t="n">
        <v>25</v>
      </c>
      <c r="B37" s="11" t="s">
        <v>71</v>
      </c>
      <c r="C37" s="12" t="s">
        <v>64</v>
      </c>
      <c r="D37" s="12" t="s">
        <v>72</v>
      </c>
    </row>
  </sheetData>
  <mergeCells count="3">
    <mergeCell ref="A1:D1"/>
    <mergeCell ref="A2:D2"/>
    <mergeCell ref="A3:D3"/>
  </mergeCells>
  <hyperlinks>
    <hyperlink ref="B13" r:id="rId1" location="'Navigation'!A1" display="Navigation"/>
    <hyperlink ref="B14" r:id="rId2" location="'Version%20Log'!A1" display="Version Log"/>
    <hyperlink ref="B15" r:id="rId3" location="'Gameplay%20Params'!A1" display="Gameplay Params"/>
    <hyperlink ref="B16" r:id="rId4" location="'Symbols%20&amp;%20Paytable'!A1" display="Symbols &amp; Paytable"/>
    <hyperlink ref="B17" r:id="rId5" location="'Reel%20Strips%20Base'!A1" display="Reel Strips Base"/>
    <hyperlink ref="B18" r:id="rId6" location="'Reel%20Strips%20FS'!A1" display="Reel Strips FS"/>
    <hyperlink ref="B19" r:id="rId7" location="'Paylines'!A1" display="Paylines"/>
    <hyperlink ref="B20" r:id="rId8" location="'Morph%20Pool%20Base'!A1" display="Morph Pool Base"/>
    <hyperlink ref="B21" r:id="rId9" location="'Morph%20Pool%20FS'!A1" display="Morph Pool FS"/>
    <hyperlink ref="B22" r:id="rId10" location="'Golden%20Config'!A1" display="Golden Config"/>
    <hyperlink ref="B23" r:id="rId11" location="'Bursting%20Wild'!A1" display="Bursting Wild"/>
    <hyperlink ref="B24" r:id="rId12" location="'Multipliers'!A1" display="Multipliers"/>
    <hyperlink ref="B25" r:id="rId13" location="'Scatter%20&amp;%20FS'!A1" display="Scatter &amp; FS"/>
    <hyperlink ref="B26" r:id="rId14" location="'Wheel%20Feature'!A1" display="Wheel Feature"/>
    <hyperlink ref="B27" r:id="rId15" location="'Jackpot%20Tiers'!A1" display="Jackpot Tiers"/>
    <hyperlink ref="B28" r:id="rId16" location="'Mansion%20Bonus'!A1" display="Mansion Bonus"/>
    <hyperlink ref="B29" r:id="rId17" location="'Buzzsaw%20Bonus'!A1" display="Buzzsaw Bonus"/>
    <hyperlink ref="B30" r:id="rId18" location="'Mega%20Hat%20Bonus'!A1" display="Mega Hat Bonus"/>
    <hyperlink ref="B31" r:id="rId19" location="'Buy%20Feature'!A1" display="Buy Feature"/>
    <hyperlink ref="B32" r:id="rId20" location="'Bet%20&amp;%20Economy'!A1" display="Bet &amp; Economy"/>
    <hyperlink ref="B33" r:id="rId21" location="'Win%20Tiers'!A1" display="Win Tiers"/>
    <hyperlink ref="B34" r:id="rId22" location="'RNG%20Registry'!A1" display="RNG Registry"/>
    <hyperlink ref="B35" r:id="rId23" location="'Analytics%20Events'!A1" display="Analytics Events"/>
    <hyperlink ref="B36" r:id="rId24" location="'Sounds'!A1" display="Sounds"/>
    <hyperlink ref="B37" r:id="rId25" location="'Config%20Index'!A1" display="Config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F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60"/>
    <col collapsed="false" customWidth="true" hidden="false" outlineLevel="0" max="5" min="5" style="0" width="22"/>
    <col collapsed="false" customWidth="true" hidden="false" outlineLevel="0" max="6" min="6" style="0" width="30"/>
  </cols>
  <sheetData>
    <row r="1" customFormat="false" ht="30" hidden="false" customHeight="true" outlineLevel="0" collapsed="false">
      <c r="A1" s="9" t="s">
        <v>73</v>
      </c>
      <c r="B1" s="9" t="s">
        <v>74</v>
      </c>
      <c r="C1" s="9" t="s">
        <v>75</v>
      </c>
      <c r="D1" s="9" t="s">
        <v>76</v>
      </c>
      <c r="E1" s="9" t="s">
        <v>77</v>
      </c>
      <c r="F1" s="9" t="s">
        <v>78</v>
      </c>
    </row>
    <row r="2" customFormat="false" ht="15" hidden="false" customHeight="false" outlineLevel="0" collapsed="false">
      <c r="A2" s="12" t="s">
        <v>79</v>
      </c>
      <c r="B2" s="12" t="s">
        <v>80</v>
      </c>
      <c r="C2" s="12" t="s">
        <v>81</v>
      </c>
      <c r="D2" s="12" t="s">
        <v>82</v>
      </c>
      <c r="E2" s="12" t="s">
        <v>83</v>
      </c>
      <c r="F2" s="12" t="s">
        <v>84</v>
      </c>
    </row>
    <row r="3" customFormat="false" ht="15" hidden="false" customHeight="false" outlineLevel="0" collapsed="false">
      <c r="A3" s="12"/>
      <c r="B3" s="12"/>
      <c r="C3" s="12"/>
      <c r="D3" s="12" t="s">
        <v>85</v>
      </c>
      <c r="E3" s="12"/>
      <c r="F3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24"/>
    <col collapsed="false" customWidth="true" hidden="false" outlineLevel="0" max="4" min="4" style="0" width="12"/>
    <col collapsed="false" customWidth="true" hidden="false" outlineLevel="0" max="7" min="5" style="0" width="10"/>
    <col collapsed="false" customWidth="true" hidden="false" outlineLevel="0" max="8" min="8" style="0" width="14"/>
    <col collapsed="false" customWidth="true" hidden="false" outlineLevel="0" max="9" min="9" style="0" width="50"/>
    <col collapsed="false" customWidth="true" hidden="false" outlineLevel="0" max="10" min="10" style="0" width="10"/>
  </cols>
  <sheetData>
    <row r="1" customFormat="false" ht="30" hidden="false" customHeight="true" outlineLevel="0" collapsed="false">
      <c r="A1" s="9" t="s">
        <v>86</v>
      </c>
      <c r="B1" s="9" t="s">
        <v>87</v>
      </c>
      <c r="C1" s="9" t="s">
        <v>88</v>
      </c>
      <c r="D1" s="9" t="s">
        <v>89</v>
      </c>
      <c r="E1" s="9" t="s">
        <v>90</v>
      </c>
      <c r="F1" s="9" t="s">
        <v>91</v>
      </c>
      <c r="G1" s="9" t="s">
        <v>92</v>
      </c>
      <c r="H1" s="9" t="s">
        <v>93</v>
      </c>
      <c r="I1" s="9" t="s">
        <v>94</v>
      </c>
      <c r="J1" s="9" t="s">
        <v>95</v>
      </c>
    </row>
    <row r="2" customFormat="false" ht="15" hidden="false" customHeight="false" outlineLevel="0" collapsed="false">
      <c r="A2" s="12" t="s">
        <v>96</v>
      </c>
      <c r="B2" s="12" t="s">
        <v>97</v>
      </c>
      <c r="C2" s="12" t="s">
        <v>98</v>
      </c>
      <c r="D2" s="13" t="n">
        <v>3</v>
      </c>
      <c r="E2" s="13" t="n">
        <v>3</v>
      </c>
      <c r="F2" s="13" t="n">
        <v>3</v>
      </c>
      <c r="G2" s="12" t="s">
        <v>99</v>
      </c>
      <c r="H2" s="12"/>
      <c r="I2" s="12" t="s">
        <v>100</v>
      </c>
      <c r="J2" s="12" t="s">
        <v>101</v>
      </c>
    </row>
    <row r="3" customFormat="false" ht="15" hidden="false" customHeight="false" outlineLevel="0" collapsed="false">
      <c r="A3" s="12" t="s">
        <v>96</v>
      </c>
      <c r="B3" s="12" t="s">
        <v>102</v>
      </c>
      <c r="C3" s="12" t="s">
        <v>103</v>
      </c>
      <c r="D3" s="13" t="n">
        <v>5</v>
      </c>
      <c r="E3" s="13" t="n">
        <v>5</v>
      </c>
      <c r="F3" s="13" t="n">
        <v>5</v>
      </c>
      <c r="G3" s="12" t="s">
        <v>99</v>
      </c>
      <c r="H3" s="12"/>
      <c r="I3" s="12" t="s">
        <v>104</v>
      </c>
      <c r="J3" s="12" t="s">
        <v>101</v>
      </c>
    </row>
    <row r="4" customFormat="false" ht="15" hidden="false" customHeight="false" outlineLevel="0" collapsed="false">
      <c r="A4" s="12" t="s">
        <v>96</v>
      </c>
      <c r="B4" s="12" t="s">
        <v>105</v>
      </c>
      <c r="C4" s="12" t="s">
        <v>106</v>
      </c>
      <c r="D4" s="12" t="n">
        <f aca="false">D2*D3</f>
        <v>15</v>
      </c>
      <c r="E4" s="13" t="n">
        <v>15</v>
      </c>
      <c r="F4" s="13" t="n">
        <v>15</v>
      </c>
      <c r="G4" s="12" t="s">
        <v>99</v>
      </c>
      <c r="H4" s="12" t="n">
        <f aca="false">D2*D3</f>
        <v>15</v>
      </c>
      <c r="I4" s="12" t="s">
        <v>107</v>
      </c>
      <c r="J4" s="12" t="s">
        <v>101</v>
      </c>
    </row>
    <row r="5" customFormat="false" ht="15" hidden="false" customHeight="false" outlineLevel="0" collapsed="false">
      <c r="A5" s="12" t="s">
        <v>102</v>
      </c>
      <c r="B5" s="12" t="s">
        <v>108</v>
      </c>
      <c r="C5" s="12" t="s">
        <v>109</v>
      </c>
      <c r="D5" s="13" t="n">
        <v>65</v>
      </c>
      <c r="E5" s="13" t="n">
        <v>50</v>
      </c>
      <c r="F5" s="13" t="n">
        <v>80</v>
      </c>
      <c r="G5" s="12" t="s">
        <v>99</v>
      </c>
      <c r="H5" s="12"/>
      <c r="I5" s="12" t="s">
        <v>110</v>
      </c>
      <c r="J5" s="12" t="s">
        <v>111</v>
      </c>
    </row>
    <row r="6" customFormat="false" ht="15" hidden="false" customHeight="false" outlineLevel="0" collapsed="false">
      <c r="A6" s="12" t="s">
        <v>102</v>
      </c>
      <c r="B6" s="12" t="s">
        <v>112</v>
      </c>
      <c r="C6" s="12" t="s">
        <v>113</v>
      </c>
      <c r="D6" s="13" t="n">
        <v>50</v>
      </c>
      <c r="E6" s="13" t="n">
        <v>20</v>
      </c>
      <c r="F6" s="13" t="n">
        <v>120</v>
      </c>
      <c r="G6" s="12" t="s">
        <v>114</v>
      </c>
      <c r="H6" s="12"/>
      <c r="I6" s="12" t="s">
        <v>115</v>
      </c>
      <c r="J6" s="12" t="s">
        <v>116</v>
      </c>
    </row>
    <row r="7" customFormat="false" ht="15" hidden="false" customHeight="false" outlineLevel="0" collapsed="false">
      <c r="A7" s="12" t="s">
        <v>102</v>
      </c>
      <c r="B7" s="12" t="s">
        <v>117</v>
      </c>
      <c r="C7" s="12" t="s">
        <v>118</v>
      </c>
      <c r="D7" s="13" t="n">
        <v>30</v>
      </c>
      <c r="E7" s="13" t="n">
        <v>10</v>
      </c>
      <c r="F7" s="13" t="n">
        <v>60</v>
      </c>
      <c r="G7" s="12" t="s">
        <v>114</v>
      </c>
      <c r="H7" s="12"/>
      <c r="I7" s="12" t="s">
        <v>119</v>
      </c>
      <c r="J7" s="12" t="s">
        <v>116</v>
      </c>
    </row>
    <row r="8" customFormat="false" ht="15" hidden="false" customHeight="false" outlineLevel="0" collapsed="false">
      <c r="A8" s="12" t="s">
        <v>120</v>
      </c>
      <c r="B8" s="12" t="s">
        <v>121</v>
      </c>
      <c r="C8" s="12" t="s">
        <v>122</v>
      </c>
      <c r="D8" s="13" t="n">
        <v>1.75</v>
      </c>
      <c r="E8" s="13" t="n">
        <v>1.5</v>
      </c>
      <c r="F8" s="13" t="n">
        <v>2</v>
      </c>
      <c r="G8" s="12" t="s">
        <v>123</v>
      </c>
      <c r="H8" s="12"/>
      <c r="I8" s="12" t="s">
        <v>124</v>
      </c>
      <c r="J8" s="12" t="s">
        <v>125</v>
      </c>
    </row>
    <row r="9" customFormat="false" ht="15" hidden="false" customHeight="false" outlineLevel="0" collapsed="false">
      <c r="A9" s="12" t="s">
        <v>120</v>
      </c>
      <c r="B9" s="12" t="s">
        <v>126</v>
      </c>
      <c r="C9" s="12" t="s">
        <v>127</v>
      </c>
      <c r="D9" s="13" t="n">
        <v>0.5</v>
      </c>
      <c r="E9" s="13" t="n">
        <v>0.4</v>
      </c>
      <c r="F9" s="13" t="n">
        <v>0.6</v>
      </c>
      <c r="G9" s="12" t="s">
        <v>123</v>
      </c>
      <c r="H9" s="12"/>
      <c r="I9" s="12" t="s">
        <v>128</v>
      </c>
      <c r="J9" s="12" t="s">
        <v>125</v>
      </c>
    </row>
    <row r="10" customFormat="false" ht="15" hidden="false" customHeight="false" outlineLevel="0" collapsed="false">
      <c r="A10" s="12" t="s">
        <v>120</v>
      </c>
      <c r="B10" s="12" t="s">
        <v>129</v>
      </c>
      <c r="C10" s="12" t="s">
        <v>130</v>
      </c>
      <c r="D10" s="13" t="n">
        <v>1</v>
      </c>
      <c r="E10" s="13" t="n">
        <v>0.8</v>
      </c>
      <c r="F10" s="13" t="n">
        <v>1.2</v>
      </c>
      <c r="G10" s="12" t="s">
        <v>123</v>
      </c>
      <c r="H10" s="12"/>
      <c r="I10" s="12" t="s">
        <v>131</v>
      </c>
      <c r="J10" s="12" t="s">
        <v>125</v>
      </c>
    </row>
    <row r="11" customFormat="false" ht="15" hidden="false" customHeight="false" outlineLevel="0" collapsed="false">
      <c r="A11" s="12" t="s">
        <v>120</v>
      </c>
      <c r="B11" s="12" t="s">
        <v>132</v>
      </c>
      <c r="C11" s="12" t="s">
        <v>133</v>
      </c>
      <c r="D11" s="13" t="n">
        <v>4</v>
      </c>
      <c r="E11" s="13" t="n">
        <v>3</v>
      </c>
      <c r="F11" s="13" t="n">
        <v>5</v>
      </c>
      <c r="G11" s="12" t="s">
        <v>123</v>
      </c>
      <c r="H11" s="12"/>
      <c r="I11" s="12" t="s">
        <v>134</v>
      </c>
      <c r="J11" s="12" t="s">
        <v>125</v>
      </c>
    </row>
    <row r="12" customFormat="false" ht="15" hidden="false" customHeight="false" outlineLevel="0" collapsed="false">
      <c r="A12" s="12" t="s">
        <v>30</v>
      </c>
      <c r="B12" s="12" t="s">
        <v>135</v>
      </c>
      <c r="C12" s="12" t="s">
        <v>136</v>
      </c>
      <c r="D12" s="13" t="n">
        <v>10</v>
      </c>
      <c r="E12" s="13" t="n">
        <v>10</v>
      </c>
      <c r="F12" s="13" t="n">
        <v>10</v>
      </c>
      <c r="G12" s="12" t="s">
        <v>99</v>
      </c>
      <c r="H12" s="12"/>
      <c r="I12" s="12" t="s">
        <v>137</v>
      </c>
      <c r="J12" s="12" t="s">
        <v>138</v>
      </c>
    </row>
    <row r="13" customFormat="false" ht="15" hidden="false" customHeight="false" outlineLevel="0" collapsed="false">
      <c r="A13" s="12" t="s">
        <v>30</v>
      </c>
      <c r="B13" s="12" t="s">
        <v>139</v>
      </c>
      <c r="C13" s="12" t="s">
        <v>140</v>
      </c>
      <c r="D13" s="13" t="n">
        <v>3</v>
      </c>
      <c r="E13" s="13" t="n">
        <v>3</v>
      </c>
      <c r="F13" s="13" t="n">
        <v>3</v>
      </c>
      <c r="G13" s="12" t="s">
        <v>99</v>
      </c>
      <c r="H13" s="12"/>
      <c r="I13" s="12" t="s">
        <v>141</v>
      </c>
      <c r="J13" s="12" t="s">
        <v>142</v>
      </c>
    </row>
    <row r="14" customFormat="false" ht="15" hidden="false" customHeight="false" outlineLevel="0" collapsed="false">
      <c r="A14" s="12" t="s">
        <v>143</v>
      </c>
      <c r="B14" s="12" t="s">
        <v>144</v>
      </c>
      <c r="C14" s="12" t="s">
        <v>145</v>
      </c>
      <c r="D14" s="13" t="n">
        <v>50</v>
      </c>
      <c r="E14" s="13" t="n">
        <v>20</v>
      </c>
      <c r="F14" s="13" t="n">
        <v>100</v>
      </c>
      <c r="G14" s="12" t="s">
        <v>146</v>
      </c>
      <c r="H14" s="12"/>
      <c r="I14" s="12" t="s">
        <v>147</v>
      </c>
      <c r="J14" s="12" t="s">
        <v>148</v>
      </c>
    </row>
    <row r="15" customFormat="false" ht="15" hidden="false" customHeight="false" outlineLevel="0" collapsed="false">
      <c r="A15" s="12" t="s">
        <v>149</v>
      </c>
      <c r="B15" s="12" t="s">
        <v>150</v>
      </c>
      <c r="C15" s="12" t="s">
        <v>151</v>
      </c>
      <c r="D15" s="13" t="n">
        <v>5</v>
      </c>
      <c r="E15" s="13" t="n">
        <v>1</v>
      </c>
      <c r="F15" s="13" t="n">
        <v>10</v>
      </c>
      <c r="G15" s="12" t="s">
        <v>152</v>
      </c>
      <c r="H15" s="12"/>
      <c r="I15" s="12" t="s">
        <v>153</v>
      </c>
      <c r="J15" s="12" t="s">
        <v>154</v>
      </c>
    </row>
    <row r="16" customFormat="false" ht="15" hidden="false" customHeight="false" outlineLevel="0" collapsed="false">
      <c r="A16" s="12" t="s">
        <v>149</v>
      </c>
      <c r="B16" s="12" t="s">
        <v>155</v>
      </c>
      <c r="C16" s="12" t="s">
        <v>156</v>
      </c>
      <c r="D16" s="13" t="n">
        <v>10</v>
      </c>
      <c r="E16" s="13" t="n">
        <v>2</v>
      </c>
      <c r="F16" s="13" t="n">
        <v>20</v>
      </c>
      <c r="G16" s="12" t="s">
        <v>152</v>
      </c>
      <c r="H16" s="12"/>
      <c r="I16" s="12" t="s">
        <v>157</v>
      </c>
      <c r="J16" s="12" t="s">
        <v>158</v>
      </c>
    </row>
    <row r="17" customFormat="false" ht="15" hidden="false" customHeight="false" outlineLevel="0" collapsed="false">
      <c r="A17" s="12" t="s">
        <v>159</v>
      </c>
      <c r="B17" s="12" t="s">
        <v>160</v>
      </c>
      <c r="C17" s="12" t="s">
        <v>161</v>
      </c>
      <c r="D17" s="13" t="n">
        <v>3</v>
      </c>
      <c r="E17" s="13" t="n">
        <v>3</v>
      </c>
      <c r="F17" s="13" t="n">
        <v>3</v>
      </c>
      <c r="G17" s="12" t="s">
        <v>99</v>
      </c>
      <c r="H17" s="12"/>
      <c r="I17" s="12" t="s">
        <v>162</v>
      </c>
      <c r="J17" s="12" t="s">
        <v>163</v>
      </c>
    </row>
    <row r="18" customFormat="false" ht="15" hidden="false" customHeight="false" outlineLevel="0" collapsed="false">
      <c r="A18" s="12" t="s">
        <v>164</v>
      </c>
      <c r="B18" s="12" t="s">
        <v>165</v>
      </c>
      <c r="C18" s="12" t="s">
        <v>166</v>
      </c>
      <c r="D18" s="13" t="n">
        <v>10</v>
      </c>
      <c r="E18" s="13" t="n">
        <v>5</v>
      </c>
      <c r="F18" s="13" t="n">
        <v>20</v>
      </c>
      <c r="G18" s="12" t="s">
        <v>99</v>
      </c>
      <c r="H18" s="12"/>
      <c r="I18" s="12" t="s">
        <v>167</v>
      </c>
      <c r="J18" s="12" t="s">
        <v>168</v>
      </c>
    </row>
    <row r="19" customFormat="false" ht="15" hidden="false" customHeight="false" outlineLevel="0" collapsed="false">
      <c r="A19" s="12" t="s">
        <v>164</v>
      </c>
      <c r="B19" s="12" t="s">
        <v>169</v>
      </c>
      <c r="C19" s="12" t="s">
        <v>170</v>
      </c>
      <c r="D19" s="13" t="n">
        <v>100</v>
      </c>
      <c r="E19" s="13" t="n">
        <v>50</v>
      </c>
      <c r="F19" s="13" t="n">
        <v>200</v>
      </c>
      <c r="G19" s="12" t="s">
        <v>99</v>
      </c>
      <c r="H19" s="12"/>
      <c r="I19" s="12" t="s">
        <v>171</v>
      </c>
      <c r="J19" s="12" t="s">
        <v>172</v>
      </c>
    </row>
    <row r="20" customFormat="false" ht="15" hidden="false" customHeight="false" outlineLevel="0" collapsed="false">
      <c r="A20" s="12" t="s">
        <v>173</v>
      </c>
      <c r="B20" s="12" t="s">
        <v>174</v>
      </c>
      <c r="C20" s="12" t="s">
        <v>175</v>
      </c>
      <c r="D20" s="13" t="n">
        <v>0.005</v>
      </c>
      <c r="E20" s="13" t="n">
        <v>0.001</v>
      </c>
      <c r="F20" s="13" t="n">
        <v>0.02</v>
      </c>
      <c r="G20" s="12" t="s">
        <v>176</v>
      </c>
      <c r="H20" s="12"/>
      <c r="I20" s="12" t="s">
        <v>177</v>
      </c>
      <c r="J20" s="12" t="s">
        <v>178</v>
      </c>
    </row>
    <row r="21" customFormat="false" ht="15" hidden="false" customHeight="false" outlineLevel="0" collapsed="false">
      <c r="A21" s="12" t="s">
        <v>173</v>
      </c>
      <c r="B21" s="12" t="s">
        <v>179</v>
      </c>
      <c r="C21" s="12" t="s">
        <v>180</v>
      </c>
      <c r="D21" s="13" t="n">
        <v>0.01</v>
      </c>
      <c r="E21" s="13" t="n">
        <v>0.002</v>
      </c>
      <c r="F21" s="13" t="n">
        <v>0.04</v>
      </c>
      <c r="G21" s="12" t="s">
        <v>176</v>
      </c>
      <c r="H21" s="12"/>
      <c r="I21" s="12" t="s">
        <v>181</v>
      </c>
      <c r="J21" s="12" t="s">
        <v>178</v>
      </c>
    </row>
    <row r="22" customFormat="false" ht="15" hidden="false" customHeight="false" outlineLevel="0" collapsed="false">
      <c r="A22" s="12" t="s">
        <v>182</v>
      </c>
      <c r="B22" s="12" t="s">
        <v>183</v>
      </c>
      <c r="C22" s="12" t="s">
        <v>184</v>
      </c>
      <c r="D22" s="13" t="n">
        <v>0.045</v>
      </c>
      <c r="E22" s="13" t="n">
        <v>0.02</v>
      </c>
      <c r="F22" s="13" t="n">
        <v>0.1</v>
      </c>
      <c r="G22" s="12" t="s">
        <v>176</v>
      </c>
      <c r="H22" s="12"/>
      <c r="I22" s="12" t="s">
        <v>185</v>
      </c>
      <c r="J22" s="12" t="s">
        <v>186</v>
      </c>
    </row>
    <row r="23" customFormat="false" ht="15" hidden="false" customHeight="false" outlineLevel="0" collapsed="false">
      <c r="A23" s="12" t="s">
        <v>182</v>
      </c>
      <c r="B23" s="12" t="s">
        <v>187</v>
      </c>
      <c r="C23" s="12" t="s">
        <v>188</v>
      </c>
      <c r="D23" s="13" t="n">
        <v>0.05</v>
      </c>
      <c r="E23" s="13" t="n">
        <v>0.03</v>
      </c>
      <c r="F23" s="13" t="n">
        <v>0.1</v>
      </c>
      <c r="G23" s="12" t="s">
        <v>176</v>
      </c>
      <c r="H23" s="12"/>
      <c r="I23" s="12" t="s">
        <v>189</v>
      </c>
      <c r="J23" s="12" t="s">
        <v>186</v>
      </c>
    </row>
    <row r="24" customFormat="false" ht="15" hidden="false" customHeight="false" outlineLevel="0" collapsed="false">
      <c r="A24" s="12" t="s">
        <v>190</v>
      </c>
      <c r="B24" s="12" t="s">
        <v>191</v>
      </c>
      <c r="C24" s="12" t="s">
        <v>192</v>
      </c>
      <c r="D24" s="13" t="n">
        <v>50000</v>
      </c>
      <c r="E24" s="13" t="n">
        <v>10000</v>
      </c>
      <c r="F24" s="13" t="n">
        <v>500000</v>
      </c>
      <c r="G24" s="12" t="s">
        <v>193</v>
      </c>
      <c r="H24" s="12"/>
      <c r="I24" s="12" t="s">
        <v>194</v>
      </c>
      <c r="J24" s="12" t="s">
        <v>195</v>
      </c>
    </row>
    <row r="25" customFormat="false" ht="15" hidden="false" customHeight="false" outlineLevel="0" collapsed="false">
      <c r="A25" s="12" t="s">
        <v>190</v>
      </c>
      <c r="B25" s="12" t="s">
        <v>196</v>
      </c>
      <c r="C25" s="12" t="s">
        <v>197</v>
      </c>
      <c r="D25" s="13" t="n">
        <v>10</v>
      </c>
      <c r="E25" s="13" t="n">
        <v>1</v>
      </c>
      <c r="F25" s="13" t="n">
        <v>100</v>
      </c>
      <c r="G25" s="12" t="s">
        <v>193</v>
      </c>
      <c r="H25" s="12"/>
      <c r="I25" s="12" t="s">
        <v>198</v>
      </c>
      <c r="J25" s="12" t="s">
        <v>199</v>
      </c>
    </row>
    <row r="26" customFormat="false" ht="15" hidden="false" customHeight="false" outlineLevel="0" collapsed="false">
      <c r="A26" s="12" t="s">
        <v>190</v>
      </c>
      <c r="B26" s="12" t="s">
        <v>200</v>
      </c>
      <c r="C26" s="12" t="s">
        <v>201</v>
      </c>
      <c r="D26" s="13" t="n">
        <v>1000</v>
      </c>
      <c r="E26" s="13" t="n">
        <v>100</v>
      </c>
      <c r="F26" s="13" t="n">
        <v>10000</v>
      </c>
      <c r="G26" s="12" t="s">
        <v>193</v>
      </c>
      <c r="H26" s="12"/>
      <c r="I26" s="12" t="s">
        <v>202</v>
      </c>
      <c r="J26" s="12" t="s">
        <v>199</v>
      </c>
    </row>
    <row r="27" customFormat="false" ht="15" hidden="false" customHeight="false" outlineLevel="0" collapsed="false">
      <c r="A27" s="12" t="s">
        <v>190</v>
      </c>
      <c r="B27" s="12" t="s">
        <v>203</v>
      </c>
      <c r="C27" s="12" t="s">
        <v>204</v>
      </c>
      <c r="D27" s="13" t="n">
        <v>4</v>
      </c>
      <c r="E27" s="13" t="n">
        <v>1</v>
      </c>
      <c r="F27" s="13" t="n">
        <v>9</v>
      </c>
      <c r="G27" s="12" t="s">
        <v>205</v>
      </c>
      <c r="H27" s="12"/>
      <c r="I27" s="12" t="s">
        <v>206</v>
      </c>
      <c r="J27" s="12" t="s">
        <v>199</v>
      </c>
    </row>
    <row r="28" customFormat="false" ht="15" hidden="false" customHeight="false" outlineLevel="0" collapsed="false">
      <c r="A28" s="12" t="s">
        <v>57</v>
      </c>
      <c r="B28" s="12" t="s">
        <v>207</v>
      </c>
      <c r="C28" s="12" t="s">
        <v>208</v>
      </c>
      <c r="D28" s="13" t="n">
        <v>75</v>
      </c>
      <c r="E28" s="13" t="n">
        <v>50</v>
      </c>
      <c r="F28" s="13" t="n">
        <v>150</v>
      </c>
      <c r="G28" s="12" t="s">
        <v>152</v>
      </c>
      <c r="H28" s="12"/>
      <c r="I28" s="12" t="s">
        <v>209</v>
      </c>
      <c r="J28" s="12" t="s">
        <v>210</v>
      </c>
    </row>
    <row r="29" customFormat="false" ht="15" hidden="false" customHeight="false" outlineLevel="0" collapsed="false">
      <c r="A29" s="12" t="s">
        <v>57</v>
      </c>
      <c r="B29" s="12" t="s">
        <v>211</v>
      </c>
      <c r="C29" s="12" t="s">
        <v>212</v>
      </c>
      <c r="D29" s="13" t="n">
        <v>50</v>
      </c>
      <c r="E29" s="13" t="n">
        <v>25</v>
      </c>
      <c r="F29" s="13" t="n">
        <v>100</v>
      </c>
      <c r="G29" s="12" t="s">
        <v>152</v>
      </c>
      <c r="H29" s="12"/>
      <c r="I29" s="12" t="s">
        <v>213</v>
      </c>
      <c r="J29" s="12" t="s">
        <v>210</v>
      </c>
    </row>
    <row r="30" customFormat="false" ht="15" hidden="false" customHeight="false" outlineLevel="0" collapsed="false">
      <c r="A30" s="12" t="s">
        <v>214</v>
      </c>
      <c r="B30" s="12" t="s">
        <v>215</v>
      </c>
      <c r="C30" s="12" t="s">
        <v>216</v>
      </c>
      <c r="D30" s="13" t="n">
        <v>0.955</v>
      </c>
      <c r="E30" s="13" t="n">
        <v>0.94</v>
      </c>
      <c r="F30" s="13" t="n">
        <v>0.965</v>
      </c>
      <c r="G30" s="12" t="s">
        <v>217</v>
      </c>
      <c r="H30" s="12"/>
      <c r="I30" s="12" t="s">
        <v>218</v>
      </c>
      <c r="J30" s="12" t="s">
        <v>219</v>
      </c>
    </row>
    <row r="31" customFormat="false" ht="15" hidden="false" customHeight="false" outlineLevel="0" collapsed="false">
      <c r="A31" s="12" t="s">
        <v>214</v>
      </c>
      <c r="B31" s="12" t="s">
        <v>220</v>
      </c>
      <c r="C31" s="12" t="s">
        <v>221</v>
      </c>
      <c r="D31" s="14" t="s">
        <v>222</v>
      </c>
      <c r="E31" s="14"/>
      <c r="F31" s="14"/>
      <c r="G31" s="12" t="s">
        <v>223</v>
      </c>
      <c r="H31" s="12"/>
      <c r="I31" s="12" t="s">
        <v>224</v>
      </c>
      <c r="J31" s="12" t="s">
        <v>219</v>
      </c>
    </row>
    <row r="32" customFormat="false" ht="15" hidden="false" customHeight="false" outlineLevel="0" collapsed="false">
      <c r="A32" s="12" t="s">
        <v>225</v>
      </c>
      <c r="B32" s="12" t="s">
        <v>226</v>
      </c>
      <c r="C32" s="12" t="s">
        <v>227</v>
      </c>
      <c r="D32" s="13" t="n">
        <v>60</v>
      </c>
      <c r="E32" s="13" t="n">
        <v>30</v>
      </c>
      <c r="F32" s="13" t="n">
        <v>120</v>
      </c>
      <c r="G32" s="12" t="s">
        <v>228</v>
      </c>
      <c r="H32" s="12"/>
      <c r="I32" s="12" t="s">
        <v>229</v>
      </c>
      <c r="J32" s="12" t="s">
        <v>230</v>
      </c>
    </row>
    <row r="33" customFormat="false" ht="15" hidden="false" customHeight="false" outlineLevel="0" collapsed="false">
      <c r="A33" s="12" t="s">
        <v>225</v>
      </c>
      <c r="B33" s="12" t="s">
        <v>231</v>
      </c>
      <c r="C33" s="12" t="s">
        <v>232</v>
      </c>
      <c r="D33" s="13" t="n">
        <v>16</v>
      </c>
      <c r="E33" s="13" t="n">
        <v>8</v>
      </c>
      <c r="F33" s="13" t="n">
        <v>33</v>
      </c>
      <c r="G33" s="12" t="s">
        <v>114</v>
      </c>
      <c r="H33" s="12"/>
      <c r="I33" s="12" t="s">
        <v>233</v>
      </c>
      <c r="J33" s="12" t="s">
        <v>230</v>
      </c>
    </row>
    <row r="34" customFormat="false" ht="15" hidden="false" customHeight="false" outlineLevel="0" collapsed="false">
      <c r="A34" s="12" t="s">
        <v>225</v>
      </c>
      <c r="B34" s="12" t="s">
        <v>234</v>
      </c>
      <c r="C34" s="12" t="s">
        <v>235</v>
      </c>
      <c r="D34" s="13" t="n">
        <v>100</v>
      </c>
      <c r="E34" s="13" t="n">
        <v>50</v>
      </c>
      <c r="F34" s="13" t="n">
        <v>200</v>
      </c>
      <c r="G34" s="12" t="s">
        <v>114</v>
      </c>
      <c r="H34" s="12"/>
      <c r="I34" s="12" t="s">
        <v>236</v>
      </c>
      <c r="J34" s="12" t="s">
        <v>230</v>
      </c>
    </row>
    <row r="35" customFormat="false" ht="15" hidden="false" customHeight="false" outlineLevel="0" collapsed="false">
      <c r="A35" s="12" t="s">
        <v>225</v>
      </c>
      <c r="B35" s="12" t="s">
        <v>237</v>
      </c>
      <c r="C35" s="12" t="s">
        <v>238</v>
      </c>
      <c r="D35" s="13" t="n">
        <v>5</v>
      </c>
      <c r="E35" s="13" t="n">
        <v>3</v>
      </c>
      <c r="F35" s="13" t="n">
        <v>15</v>
      </c>
      <c r="G35" s="12" t="s">
        <v>123</v>
      </c>
      <c r="H35" s="12"/>
      <c r="I35" s="12" t="s">
        <v>239</v>
      </c>
      <c r="J35" s="12" t="s">
        <v>230</v>
      </c>
    </row>
    <row r="36" customFormat="false" ht="15" hidden="false" customHeight="false" outlineLevel="0" collapsed="false">
      <c r="A36" s="12" t="s">
        <v>225</v>
      </c>
      <c r="B36" s="12" t="s">
        <v>240</v>
      </c>
      <c r="C36" s="12" t="s">
        <v>241</v>
      </c>
      <c r="D36" s="13" t="n">
        <v>150</v>
      </c>
      <c r="E36" s="13" t="n">
        <v>100</v>
      </c>
      <c r="F36" s="13" t="n">
        <v>256</v>
      </c>
      <c r="G36" s="12" t="s">
        <v>242</v>
      </c>
      <c r="H36" s="12"/>
      <c r="I36" s="12" t="s">
        <v>243</v>
      </c>
      <c r="J36" s="12" t="s">
        <v>230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false"/>
  </sheetPr>
  <dimension ref="A1:K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7" min="4" style="0" width="10"/>
    <col collapsed="false" customWidth="true" hidden="false" outlineLevel="0" max="8" min="8" style="0" width="14"/>
    <col collapsed="false" customWidth="true" hidden="false" outlineLevel="0" max="9" min="9" style="0" width="18"/>
    <col collapsed="false" customWidth="true" hidden="false" outlineLevel="0" max="10" min="10" style="0" width="32"/>
    <col collapsed="false" customWidth="true" hidden="false" outlineLevel="0" max="11" min="11" style="0" width="38"/>
  </cols>
  <sheetData>
    <row r="1" customFormat="false" ht="30" hidden="false" customHeight="true" outlineLevel="0" collapsed="false">
      <c r="A1" s="9" t="s">
        <v>244</v>
      </c>
      <c r="B1" s="9" t="s">
        <v>245</v>
      </c>
      <c r="C1" s="9" t="s">
        <v>14</v>
      </c>
      <c r="D1" s="9" t="s">
        <v>246</v>
      </c>
      <c r="E1" s="9" t="s">
        <v>247</v>
      </c>
      <c r="F1" s="9" t="s">
        <v>248</v>
      </c>
      <c r="G1" s="9" t="s">
        <v>249</v>
      </c>
      <c r="H1" s="9" t="s">
        <v>250</v>
      </c>
      <c r="I1" s="9" t="s">
        <v>251</v>
      </c>
      <c r="J1" s="9" t="s">
        <v>252</v>
      </c>
      <c r="K1" s="9" t="s">
        <v>253</v>
      </c>
    </row>
    <row r="2" customFormat="false" ht="15" hidden="false" customHeight="false" outlineLevel="0" collapsed="false">
      <c r="A2" s="12" t="s">
        <v>254</v>
      </c>
      <c r="B2" s="12" t="s">
        <v>255</v>
      </c>
      <c r="C2" s="12" t="s">
        <v>256</v>
      </c>
      <c r="D2" s="12" t="s">
        <v>257</v>
      </c>
      <c r="E2" s="13" t="n">
        <v>2</v>
      </c>
      <c r="F2" s="13" t="n">
        <v>5</v>
      </c>
      <c r="G2" s="13" t="n">
        <v>25</v>
      </c>
      <c r="H2" s="12" t="n">
        <f aca="false">G2/E2</f>
        <v>12.5</v>
      </c>
      <c r="I2" s="13" t="n">
        <v>4</v>
      </c>
      <c r="J2" s="12" t="s">
        <v>258</v>
      </c>
      <c r="K2" s="12" t="s">
        <v>259</v>
      </c>
    </row>
    <row r="3" customFormat="false" ht="15" hidden="false" customHeight="false" outlineLevel="0" collapsed="false">
      <c r="A3" s="12" t="s">
        <v>260</v>
      </c>
      <c r="B3" s="12" t="s">
        <v>261</v>
      </c>
      <c r="C3" s="12" t="s">
        <v>256</v>
      </c>
      <c r="D3" s="12" t="s">
        <v>262</v>
      </c>
      <c r="E3" s="13" t="n">
        <v>1.5</v>
      </c>
      <c r="F3" s="13" t="n">
        <v>3</v>
      </c>
      <c r="G3" s="13" t="n">
        <v>15</v>
      </c>
      <c r="H3" s="12" t="n">
        <f aca="false">G3/E3</f>
        <v>10</v>
      </c>
      <c r="I3" s="13" t="n">
        <v>4</v>
      </c>
      <c r="J3" s="12" t="s">
        <v>258</v>
      </c>
      <c r="K3" s="12" t="s">
        <v>263</v>
      </c>
    </row>
    <row r="4" customFormat="false" ht="15" hidden="false" customHeight="false" outlineLevel="0" collapsed="false">
      <c r="A4" s="12" t="s">
        <v>264</v>
      </c>
      <c r="B4" s="12" t="s">
        <v>265</v>
      </c>
      <c r="C4" s="12" t="s">
        <v>256</v>
      </c>
      <c r="D4" s="12" t="s">
        <v>262</v>
      </c>
      <c r="E4" s="13" t="n">
        <v>1</v>
      </c>
      <c r="F4" s="13" t="n">
        <v>2.5</v>
      </c>
      <c r="G4" s="13" t="n">
        <v>10</v>
      </c>
      <c r="H4" s="12" t="n">
        <f aca="false">G4/E4</f>
        <v>10</v>
      </c>
      <c r="I4" s="13" t="n">
        <v>5</v>
      </c>
      <c r="J4" s="12" t="s">
        <v>258</v>
      </c>
      <c r="K4" s="12" t="s">
        <v>266</v>
      </c>
    </row>
    <row r="5" customFormat="false" ht="15" hidden="false" customHeight="false" outlineLevel="0" collapsed="false">
      <c r="A5" s="12" t="s">
        <v>267</v>
      </c>
      <c r="B5" s="12" t="s">
        <v>268</v>
      </c>
      <c r="C5" s="12" t="s">
        <v>256</v>
      </c>
      <c r="D5" s="12" t="s">
        <v>262</v>
      </c>
      <c r="E5" s="13" t="n">
        <v>0.8</v>
      </c>
      <c r="F5" s="13" t="n">
        <v>2</v>
      </c>
      <c r="G5" s="13" t="n">
        <v>7.5</v>
      </c>
      <c r="H5" s="12" t="n">
        <f aca="false">G5/E5</f>
        <v>9.375</v>
      </c>
      <c r="I5" s="13" t="n">
        <v>5</v>
      </c>
      <c r="J5" s="12" t="s">
        <v>258</v>
      </c>
      <c r="K5" s="12" t="s">
        <v>269</v>
      </c>
    </row>
    <row r="6" customFormat="false" ht="15" hidden="false" customHeight="false" outlineLevel="0" collapsed="false">
      <c r="A6" s="12" t="s">
        <v>270</v>
      </c>
      <c r="B6" s="12" t="s">
        <v>271</v>
      </c>
      <c r="C6" s="12" t="s">
        <v>272</v>
      </c>
      <c r="D6" s="12" t="s">
        <v>273</v>
      </c>
      <c r="E6" s="13" t="n">
        <v>0.5</v>
      </c>
      <c r="F6" s="13" t="n">
        <v>1.5</v>
      </c>
      <c r="G6" s="13" t="n">
        <v>5</v>
      </c>
      <c r="H6" s="12" t="n">
        <f aca="false">G6/E6</f>
        <v>10</v>
      </c>
      <c r="I6" s="13" t="n">
        <v>8</v>
      </c>
      <c r="J6" s="12" t="s">
        <v>274</v>
      </c>
      <c r="K6" s="12" t="s">
        <v>275</v>
      </c>
    </row>
    <row r="7" customFormat="false" ht="15" hidden="false" customHeight="false" outlineLevel="0" collapsed="false">
      <c r="A7" s="12" t="s">
        <v>276</v>
      </c>
      <c r="B7" s="12" t="s">
        <v>277</v>
      </c>
      <c r="C7" s="12" t="s">
        <v>272</v>
      </c>
      <c r="D7" s="12" t="s">
        <v>273</v>
      </c>
      <c r="E7" s="13" t="n">
        <v>0.4</v>
      </c>
      <c r="F7" s="13" t="n">
        <v>1.2</v>
      </c>
      <c r="G7" s="13" t="n">
        <v>4</v>
      </c>
      <c r="H7" s="12" t="n">
        <f aca="false">G7/E7</f>
        <v>10</v>
      </c>
      <c r="I7" s="13" t="n">
        <v>9</v>
      </c>
      <c r="J7" s="12" t="s">
        <v>274</v>
      </c>
      <c r="K7" s="12" t="s">
        <v>278</v>
      </c>
    </row>
    <row r="8" customFormat="false" ht="15" hidden="false" customHeight="false" outlineLevel="0" collapsed="false">
      <c r="A8" s="12" t="s">
        <v>279</v>
      </c>
      <c r="B8" s="12" t="s">
        <v>280</v>
      </c>
      <c r="C8" s="12" t="s">
        <v>272</v>
      </c>
      <c r="D8" s="12" t="s">
        <v>273</v>
      </c>
      <c r="E8" s="13" t="n">
        <v>0.3</v>
      </c>
      <c r="F8" s="13" t="n">
        <v>1</v>
      </c>
      <c r="G8" s="13" t="n">
        <v>3</v>
      </c>
      <c r="H8" s="12" t="n">
        <f aca="false">G8/E8</f>
        <v>10</v>
      </c>
      <c r="I8" s="13" t="n">
        <v>9</v>
      </c>
      <c r="J8" s="12" t="s">
        <v>274</v>
      </c>
      <c r="K8" s="12" t="s">
        <v>281</v>
      </c>
    </row>
    <row r="9" customFormat="false" ht="15" hidden="false" customHeight="false" outlineLevel="0" collapsed="false">
      <c r="A9" s="12" t="s">
        <v>282</v>
      </c>
      <c r="B9" s="12" t="s">
        <v>4</v>
      </c>
      <c r="C9" s="12" t="s">
        <v>272</v>
      </c>
      <c r="D9" s="12" t="s">
        <v>273</v>
      </c>
      <c r="E9" s="13" t="n">
        <v>0.2</v>
      </c>
      <c r="F9" s="13" t="n">
        <v>0.8</v>
      </c>
      <c r="G9" s="13" t="n">
        <v>2.5</v>
      </c>
      <c r="H9" s="12" t="n">
        <f aca="false">G9/E9</f>
        <v>12.5</v>
      </c>
      <c r="I9" s="13" t="n">
        <v>10</v>
      </c>
      <c r="J9" s="12" t="s">
        <v>274</v>
      </c>
      <c r="K9" s="12" t="s">
        <v>283</v>
      </c>
    </row>
    <row r="10" customFormat="false" ht="15" hidden="false" customHeight="false" outlineLevel="0" collapsed="false">
      <c r="A10" s="12" t="s">
        <v>284</v>
      </c>
      <c r="B10" s="12" t="s">
        <v>285</v>
      </c>
      <c r="C10" s="12" t="s">
        <v>272</v>
      </c>
      <c r="D10" s="12" t="s">
        <v>273</v>
      </c>
      <c r="E10" s="13" t="n">
        <v>0.2</v>
      </c>
      <c r="F10" s="13" t="n">
        <v>0.7</v>
      </c>
      <c r="G10" s="13" t="n">
        <v>2</v>
      </c>
      <c r="H10" s="12" t="n">
        <f aca="false">G10/E10</f>
        <v>10</v>
      </c>
      <c r="I10" s="13" t="n">
        <v>10</v>
      </c>
      <c r="J10" s="12" t="s">
        <v>274</v>
      </c>
      <c r="K10" s="12" t="s">
        <v>286</v>
      </c>
    </row>
    <row r="11" customFormat="false" ht="15" hidden="false" customHeight="false" outlineLevel="0" collapsed="false">
      <c r="A11" s="12" t="s">
        <v>287</v>
      </c>
      <c r="B11" s="12" t="s">
        <v>288</v>
      </c>
      <c r="C11" s="12" t="s">
        <v>272</v>
      </c>
      <c r="D11" s="12" t="s">
        <v>273</v>
      </c>
      <c r="E11" s="13" t="n">
        <v>0.15</v>
      </c>
      <c r="F11" s="13" t="n">
        <v>0.5</v>
      </c>
      <c r="G11" s="13" t="n">
        <v>1.5</v>
      </c>
      <c r="H11" s="12" t="n">
        <f aca="false">G11/E11</f>
        <v>10</v>
      </c>
      <c r="I11" s="13" t="n">
        <v>11</v>
      </c>
      <c r="J11" s="12" t="s">
        <v>274</v>
      </c>
      <c r="K11" s="12" t="s">
        <v>289</v>
      </c>
    </row>
    <row r="12" customFormat="false" ht="15" hidden="false" customHeight="false" outlineLevel="0" collapsed="false">
      <c r="A12" s="12" t="s">
        <v>290</v>
      </c>
      <c r="B12" s="12" t="s">
        <v>291</v>
      </c>
      <c r="C12" s="12" t="s">
        <v>272</v>
      </c>
      <c r="D12" s="12" t="s">
        <v>273</v>
      </c>
      <c r="E12" s="13" t="n">
        <v>0.15</v>
      </c>
      <c r="F12" s="13" t="n">
        <v>0.5</v>
      </c>
      <c r="G12" s="13" t="n">
        <v>1.5</v>
      </c>
      <c r="H12" s="12" t="n">
        <f aca="false">G12/E12</f>
        <v>10</v>
      </c>
      <c r="I12" s="13" t="n">
        <v>11</v>
      </c>
      <c r="J12" s="12" t="s">
        <v>274</v>
      </c>
      <c r="K12" s="12" t="s">
        <v>292</v>
      </c>
    </row>
    <row r="13" customFormat="false" ht="15" hidden="false" customHeight="false" outlineLevel="0" collapsed="false">
      <c r="A13" s="12" t="s">
        <v>293</v>
      </c>
      <c r="B13" s="12" t="s">
        <v>294</v>
      </c>
      <c r="C13" s="12" t="s">
        <v>272</v>
      </c>
      <c r="D13" s="12" t="s">
        <v>273</v>
      </c>
      <c r="E13" s="13" t="n">
        <v>0.1</v>
      </c>
      <c r="F13" s="13" t="n">
        <v>0.4</v>
      </c>
      <c r="G13" s="13" t="n">
        <v>1</v>
      </c>
      <c r="H13" s="12" t="n">
        <f aca="false">G13/E13</f>
        <v>10</v>
      </c>
      <c r="I13" s="13" t="n">
        <v>12</v>
      </c>
      <c r="J13" s="12" t="s">
        <v>274</v>
      </c>
      <c r="K13" s="12" t="s">
        <v>295</v>
      </c>
    </row>
    <row r="14" customFormat="false" ht="15" hidden="false" customHeight="false" outlineLevel="0" collapsed="false">
      <c r="A14" s="12" t="s">
        <v>296</v>
      </c>
      <c r="B14" s="12" t="s">
        <v>297</v>
      </c>
      <c r="C14" s="12" t="s">
        <v>298</v>
      </c>
      <c r="D14" s="12" t="s">
        <v>299</v>
      </c>
      <c r="E14" s="14" t="s">
        <v>300</v>
      </c>
      <c r="F14" s="14" t="s">
        <v>300</v>
      </c>
      <c r="G14" s="14" t="s">
        <v>300</v>
      </c>
      <c r="H14" s="12" t="s">
        <v>300</v>
      </c>
      <c r="I14" s="13" t="n">
        <v>2</v>
      </c>
      <c r="J14" s="12" t="s">
        <v>301</v>
      </c>
      <c r="K14" s="12" t="s">
        <v>302</v>
      </c>
    </row>
    <row r="15" customFormat="false" ht="15" hidden="false" customHeight="false" outlineLevel="0" collapsed="false">
      <c r="A15" s="12" t="s">
        <v>303</v>
      </c>
      <c r="B15" s="12" t="s">
        <v>304</v>
      </c>
      <c r="C15" s="12" t="s">
        <v>305</v>
      </c>
      <c r="D15" s="12" t="s">
        <v>299</v>
      </c>
      <c r="E15" s="14" t="s">
        <v>300</v>
      </c>
      <c r="F15" s="14" t="s">
        <v>300</v>
      </c>
      <c r="G15" s="14" t="s">
        <v>300</v>
      </c>
      <c r="H15" s="12" t="s">
        <v>300</v>
      </c>
      <c r="I15" s="13" t="n">
        <v>1</v>
      </c>
      <c r="J15" s="12" t="s">
        <v>306</v>
      </c>
      <c r="K15" s="12" t="s">
        <v>307</v>
      </c>
    </row>
    <row r="16" customFormat="false" ht="15" hidden="false" customHeight="false" outlineLevel="0" collapsed="false">
      <c r="A16" s="12" t="s">
        <v>308</v>
      </c>
      <c r="B16" s="12" t="s">
        <v>309</v>
      </c>
      <c r="C16" s="12" t="s">
        <v>159</v>
      </c>
      <c r="D16" s="12" t="s">
        <v>299</v>
      </c>
      <c r="E16" s="13" t="n">
        <v>2</v>
      </c>
      <c r="F16" s="13" t="n">
        <v>10</v>
      </c>
      <c r="G16" s="13" t="n">
        <v>50</v>
      </c>
      <c r="H16" s="12" t="n">
        <f aca="false">G16/E16</f>
        <v>25</v>
      </c>
      <c r="I16" s="13" t="n">
        <v>1</v>
      </c>
      <c r="J16" s="12" t="s">
        <v>310</v>
      </c>
      <c r="K16" s="12" t="s">
        <v>311</v>
      </c>
    </row>
    <row r="17" customFormat="false" ht="23.85" hidden="false" customHeight="false" outlineLevel="0" collapsed="false">
      <c r="A17" s="12" t="s">
        <v>312</v>
      </c>
      <c r="B17" s="12" t="s">
        <v>313</v>
      </c>
      <c r="C17" s="12" t="s">
        <v>314</v>
      </c>
      <c r="D17" s="12" t="s">
        <v>299</v>
      </c>
      <c r="E17" s="14" t="s">
        <v>300</v>
      </c>
      <c r="F17" s="14" t="s">
        <v>300</v>
      </c>
      <c r="G17" s="14" t="s">
        <v>300</v>
      </c>
      <c r="H17" s="12" t="s">
        <v>300</v>
      </c>
      <c r="I17" s="13" t="n">
        <v>2</v>
      </c>
      <c r="J17" s="12" t="s">
        <v>315</v>
      </c>
      <c r="K17" s="12" t="s">
        <v>316</v>
      </c>
    </row>
    <row r="20" customFormat="false" ht="15" hidden="false" customHeight="false" outlineLevel="0" collapsed="false">
      <c r="A20" s="3" t="s">
        <v>253</v>
      </c>
    </row>
    <row r="21" customFormat="false" ht="15" hidden="false" customHeight="false" outlineLevel="0" collapsed="false">
      <c r="A21" s="2" t="s">
        <v>317</v>
      </c>
      <c r="B21" s="2"/>
      <c r="C21" s="2"/>
      <c r="D21" s="2"/>
      <c r="E21" s="2"/>
      <c r="F21" s="2"/>
      <c r="G21" s="2"/>
      <c r="H21" s="2"/>
      <c r="I21" s="2"/>
      <c r="J21" s="2"/>
      <c r="K21" s="2"/>
    </row>
  </sheetData>
  <mergeCells count="1">
    <mergeCell ref="A21:K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false"/>
  </sheetPr>
  <dimension ref="A1:G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6" min="2" style="0" width="10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15" t="s">
        <v>318</v>
      </c>
      <c r="B1" s="15"/>
      <c r="C1" s="15"/>
      <c r="D1" s="15"/>
      <c r="E1" s="15"/>
      <c r="F1" s="15"/>
      <c r="G1" s="15"/>
    </row>
    <row r="2" customFormat="false" ht="15" hidden="false" customHeight="false" outlineLevel="0" collapsed="false">
      <c r="A2" s="2" t="s">
        <v>319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320</v>
      </c>
    </row>
    <row r="5" customFormat="false" ht="15" hidden="false" customHeight="false" outlineLevel="0" collapsed="false">
      <c r="A5" s="9" t="s">
        <v>321</v>
      </c>
      <c r="B5" s="9" t="s">
        <v>322</v>
      </c>
      <c r="C5" s="9" t="s">
        <v>323</v>
      </c>
      <c r="D5" s="9" t="s">
        <v>324</v>
      </c>
      <c r="E5" s="9" t="s">
        <v>325</v>
      </c>
      <c r="F5" s="9" t="s">
        <v>326</v>
      </c>
      <c r="G5" s="9" t="s">
        <v>327</v>
      </c>
    </row>
    <row r="6" customFormat="false" ht="15" hidden="false" customHeight="false" outlineLevel="0" collapsed="false">
      <c r="A6" s="16" t="s">
        <v>254</v>
      </c>
      <c r="B6" s="13" t="n">
        <v>2</v>
      </c>
      <c r="C6" s="13" t="n">
        <v>2</v>
      </c>
      <c r="D6" s="13" t="n">
        <v>3</v>
      </c>
      <c r="E6" s="13" t="n">
        <v>3</v>
      </c>
      <c r="F6" s="13" t="n">
        <v>3</v>
      </c>
      <c r="G6" s="16" t="n">
        <f aca="false">SUM(B6:F6)</f>
        <v>13</v>
      </c>
    </row>
    <row r="7" customFormat="false" ht="15" hidden="false" customHeight="false" outlineLevel="0" collapsed="false">
      <c r="A7" s="16" t="s">
        <v>260</v>
      </c>
      <c r="B7" s="13" t="n">
        <v>3</v>
      </c>
      <c r="C7" s="13" t="n">
        <v>3</v>
      </c>
      <c r="D7" s="13" t="n">
        <v>4</v>
      </c>
      <c r="E7" s="13" t="n">
        <v>3</v>
      </c>
      <c r="F7" s="13" t="n">
        <v>3</v>
      </c>
      <c r="G7" s="16" t="n">
        <f aca="false">SUM(B7:F7)</f>
        <v>16</v>
      </c>
    </row>
    <row r="8" customFormat="false" ht="15" hidden="false" customHeight="false" outlineLevel="0" collapsed="false">
      <c r="A8" s="16" t="s">
        <v>264</v>
      </c>
      <c r="B8" s="13" t="n">
        <v>4</v>
      </c>
      <c r="C8" s="13" t="n">
        <v>4</v>
      </c>
      <c r="D8" s="13" t="n">
        <v>5</v>
      </c>
      <c r="E8" s="13" t="n">
        <v>4</v>
      </c>
      <c r="F8" s="13" t="n">
        <v>4</v>
      </c>
      <c r="G8" s="16" t="n">
        <f aca="false">SUM(B8:F8)</f>
        <v>21</v>
      </c>
    </row>
    <row r="9" customFormat="false" ht="15" hidden="false" customHeight="false" outlineLevel="0" collapsed="false">
      <c r="A9" s="16" t="s">
        <v>267</v>
      </c>
      <c r="B9" s="13" t="n">
        <v>5</v>
      </c>
      <c r="C9" s="13" t="n">
        <v>5</v>
      </c>
      <c r="D9" s="13" t="n">
        <v>5</v>
      </c>
      <c r="E9" s="13" t="n">
        <v>5</v>
      </c>
      <c r="F9" s="13" t="n">
        <v>5</v>
      </c>
      <c r="G9" s="16" t="n">
        <f aca="false">SUM(B9:F9)</f>
        <v>25</v>
      </c>
    </row>
    <row r="10" customFormat="false" ht="15" hidden="false" customHeight="false" outlineLevel="0" collapsed="false">
      <c r="A10" s="16" t="s">
        <v>270</v>
      </c>
      <c r="B10" s="13" t="n">
        <v>3</v>
      </c>
      <c r="C10" s="13" t="n">
        <v>4</v>
      </c>
      <c r="D10" s="13" t="n">
        <v>4</v>
      </c>
      <c r="E10" s="13" t="n">
        <v>3</v>
      </c>
      <c r="F10" s="13" t="n">
        <v>3</v>
      </c>
      <c r="G10" s="16" t="n">
        <f aca="false">SUM(B10:F10)</f>
        <v>17</v>
      </c>
    </row>
    <row r="11" customFormat="false" ht="15" hidden="false" customHeight="false" outlineLevel="0" collapsed="false">
      <c r="A11" s="16" t="s">
        <v>276</v>
      </c>
      <c r="B11" s="13" t="n">
        <v>4</v>
      </c>
      <c r="C11" s="13" t="n">
        <v>4</v>
      </c>
      <c r="D11" s="13" t="n">
        <v>5</v>
      </c>
      <c r="E11" s="13" t="n">
        <v>4</v>
      </c>
      <c r="F11" s="13" t="n">
        <v>4</v>
      </c>
      <c r="G11" s="16" t="n">
        <f aca="false">SUM(B11:F11)</f>
        <v>21</v>
      </c>
    </row>
    <row r="12" customFormat="false" ht="15" hidden="false" customHeight="false" outlineLevel="0" collapsed="false">
      <c r="A12" s="16" t="s">
        <v>279</v>
      </c>
      <c r="B12" s="13" t="n">
        <v>4</v>
      </c>
      <c r="C12" s="13" t="n">
        <v>5</v>
      </c>
      <c r="D12" s="13" t="n">
        <v>5</v>
      </c>
      <c r="E12" s="13" t="n">
        <v>5</v>
      </c>
      <c r="F12" s="13" t="n">
        <v>4</v>
      </c>
      <c r="G12" s="16" t="n">
        <f aca="false">SUM(B12:F12)</f>
        <v>23</v>
      </c>
    </row>
    <row r="13" customFormat="false" ht="15" hidden="false" customHeight="false" outlineLevel="0" collapsed="false">
      <c r="A13" s="16" t="s">
        <v>282</v>
      </c>
      <c r="B13" s="13" t="n">
        <v>5</v>
      </c>
      <c r="C13" s="13" t="n">
        <v>5</v>
      </c>
      <c r="D13" s="13" t="n">
        <v>5</v>
      </c>
      <c r="E13" s="13" t="n">
        <v>5</v>
      </c>
      <c r="F13" s="13" t="n">
        <v>5</v>
      </c>
      <c r="G13" s="16" t="n">
        <f aca="false">SUM(B13:F13)</f>
        <v>25</v>
      </c>
    </row>
    <row r="14" customFormat="false" ht="15" hidden="false" customHeight="false" outlineLevel="0" collapsed="false">
      <c r="A14" s="16" t="s">
        <v>284</v>
      </c>
      <c r="B14" s="13" t="n">
        <v>6</v>
      </c>
      <c r="C14" s="13" t="n">
        <v>5</v>
      </c>
      <c r="D14" s="13" t="n">
        <v>6</v>
      </c>
      <c r="E14" s="13" t="n">
        <v>5</v>
      </c>
      <c r="F14" s="13" t="n">
        <v>5</v>
      </c>
      <c r="G14" s="16" t="n">
        <f aca="false">SUM(B14:F14)</f>
        <v>27</v>
      </c>
    </row>
    <row r="15" customFormat="false" ht="15" hidden="false" customHeight="false" outlineLevel="0" collapsed="false">
      <c r="A15" s="16" t="s">
        <v>287</v>
      </c>
      <c r="B15" s="13" t="n">
        <v>6</v>
      </c>
      <c r="C15" s="13" t="n">
        <v>6</v>
      </c>
      <c r="D15" s="13" t="n">
        <v>6</v>
      </c>
      <c r="E15" s="13" t="n">
        <v>6</v>
      </c>
      <c r="F15" s="13" t="n">
        <v>6</v>
      </c>
      <c r="G15" s="16" t="n">
        <f aca="false">SUM(B15:F15)</f>
        <v>30</v>
      </c>
    </row>
    <row r="16" customFormat="false" ht="15" hidden="false" customHeight="false" outlineLevel="0" collapsed="false">
      <c r="A16" s="16" t="s">
        <v>290</v>
      </c>
      <c r="B16" s="13" t="n">
        <v>7</v>
      </c>
      <c r="C16" s="13" t="n">
        <v>6</v>
      </c>
      <c r="D16" s="13" t="n">
        <v>7</v>
      </c>
      <c r="E16" s="13" t="n">
        <v>6</v>
      </c>
      <c r="F16" s="13" t="n">
        <v>7</v>
      </c>
      <c r="G16" s="16" t="n">
        <f aca="false">SUM(B16:F16)</f>
        <v>33</v>
      </c>
    </row>
    <row r="17" customFormat="false" ht="15" hidden="false" customHeight="false" outlineLevel="0" collapsed="false">
      <c r="A17" s="16" t="s">
        <v>293</v>
      </c>
      <c r="B17" s="13" t="n">
        <v>7</v>
      </c>
      <c r="C17" s="13" t="n">
        <v>7</v>
      </c>
      <c r="D17" s="13" t="n">
        <v>7</v>
      </c>
      <c r="E17" s="13" t="n">
        <v>7</v>
      </c>
      <c r="F17" s="13" t="n">
        <v>7</v>
      </c>
      <c r="G17" s="16" t="n">
        <f aca="false">SUM(B17:F17)</f>
        <v>35</v>
      </c>
    </row>
    <row r="18" customFormat="false" ht="15" hidden="false" customHeight="false" outlineLevel="0" collapsed="false">
      <c r="A18" s="16" t="s">
        <v>296</v>
      </c>
      <c r="B18" s="13" t="n">
        <v>3</v>
      </c>
      <c r="C18" s="13" t="n">
        <v>2</v>
      </c>
      <c r="D18" s="13" t="n">
        <v>2</v>
      </c>
      <c r="E18" s="13" t="n">
        <v>2</v>
      </c>
      <c r="F18" s="13" t="n">
        <v>3</v>
      </c>
      <c r="G18" s="16" t="n">
        <f aca="false">SUM(B18:F18)</f>
        <v>12</v>
      </c>
    </row>
    <row r="19" customFormat="false" ht="15" hidden="false" customHeight="false" outlineLevel="0" collapsed="false">
      <c r="A19" s="16" t="s">
        <v>303</v>
      </c>
      <c r="B19" s="13" t="n">
        <v>0</v>
      </c>
      <c r="C19" s="13" t="n">
        <v>2</v>
      </c>
      <c r="D19" s="13" t="n">
        <v>2</v>
      </c>
      <c r="E19" s="13" t="n">
        <v>2</v>
      </c>
      <c r="F19" s="13" t="n">
        <v>0</v>
      </c>
      <c r="G19" s="16" t="n">
        <f aca="false">SUM(B19:F19)</f>
        <v>6</v>
      </c>
    </row>
    <row r="20" customFormat="false" ht="15" hidden="false" customHeight="false" outlineLevel="0" collapsed="false">
      <c r="A20" s="16" t="s">
        <v>308</v>
      </c>
      <c r="B20" s="13" t="n">
        <v>1</v>
      </c>
      <c r="C20" s="13" t="n">
        <v>2</v>
      </c>
      <c r="D20" s="13" t="n">
        <v>1</v>
      </c>
      <c r="E20" s="13" t="n">
        <v>2</v>
      </c>
      <c r="F20" s="13" t="n">
        <v>1</v>
      </c>
      <c r="G20" s="16" t="n">
        <f aca="false">SUM(B20:F20)</f>
        <v>7</v>
      </c>
    </row>
    <row r="21" customFormat="false" ht="15" hidden="false" customHeight="false" outlineLevel="0" collapsed="false">
      <c r="A21" s="16" t="s">
        <v>312</v>
      </c>
      <c r="B21" s="13" t="n">
        <v>0</v>
      </c>
      <c r="C21" s="13" t="n">
        <v>3</v>
      </c>
      <c r="D21" s="13" t="n">
        <v>3</v>
      </c>
      <c r="E21" s="13" t="n">
        <v>3</v>
      </c>
      <c r="F21" s="13" t="n">
        <v>0</v>
      </c>
      <c r="G21" s="16" t="n">
        <f aca="false">SUM(B21:F21)</f>
        <v>9</v>
      </c>
    </row>
    <row r="22" customFormat="false" ht="15" hidden="false" customHeight="false" outlineLevel="0" collapsed="false">
      <c r="A22" s="17" t="s">
        <v>328</v>
      </c>
      <c r="B22" s="18" t="n">
        <v>60</v>
      </c>
      <c r="C22" s="18" t="n">
        <v>65</v>
      </c>
      <c r="D22" s="18" t="n">
        <v>70</v>
      </c>
      <c r="E22" s="18" t="n">
        <v>65</v>
      </c>
      <c r="F22" s="18" t="n">
        <v>60</v>
      </c>
      <c r="G22" s="19" t="n">
        <f aca="false">SUM(B22:F22)</f>
        <v>320</v>
      </c>
    </row>
    <row r="23" customFormat="false" ht="15" hidden="false" customHeight="false" outlineLevel="0" collapsed="false">
      <c r="A23" s="20" t="s">
        <v>329</v>
      </c>
      <c r="B23" s="21" t="str">
        <f aca="false">IF(SUM(B6:B21)=B22,"OK","MISMATCH")</f>
        <v>OK</v>
      </c>
      <c r="C23" s="21" t="str">
        <f aca="false">IF(SUM(C6:C21)=C22,"OK","MISMATCH")</f>
        <v>OK</v>
      </c>
      <c r="D23" s="21" t="str">
        <f aca="false">IF(SUM(D6:D21)=D22,"OK","MISMATCH")</f>
        <v>OK</v>
      </c>
      <c r="E23" s="21" t="str">
        <f aca="false">IF(SUM(E6:E21)=E22,"OK","MISMATCH")</f>
        <v>OK</v>
      </c>
      <c r="F23" s="21" t="str">
        <f aca="false">IF(SUM(F6:F21)=F22,"OK","MISMATCH")</f>
        <v>OK</v>
      </c>
      <c r="G23" s="22"/>
    </row>
    <row r="25" customFormat="false" ht="15" hidden="false" customHeight="false" outlineLevel="0" collapsed="false">
      <c r="A25" s="3" t="s">
        <v>330</v>
      </c>
    </row>
    <row r="26" customFormat="false" ht="15" hidden="false" customHeight="false" outlineLevel="0" collapsed="false">
      <c r="A26" s="9" t="s">
        <v>17</v>
      </c>
      <c r="B26" s="9" t="s">
        <v>322</v>
      </c>
      <c r="C26" s="9" t="s">
        <v>323</v>
      </c>
      <c r="D26" s="9" t="s">
        <v>324</v>
      </c>
      <c r="E26" s="9" t="s">
        <v>325</v>
      </c>
      <c r="F26" s="9" t="s">
        <v>326</v>
      </c>
    </row>
    <row r="27" customFormat="false" ht="15" hidden="false" customHeight="false" outlineLevel="0" collapsed="false">
      <c r="A27" s="16" t="n">
        <v>0</v>
      </c>
      <c r="B27" s="16" t="s">
        <v>293</v>
      </c>
      <c r="C27" s="16" t="s">
        <v>296</v>
      </c>
      <c r="D27" s="16" t="s">
        <v>284</v>
      </c>
      <c r="E27" s="16" t="s">
        <v>296</v>
      </c>
      <c r="F27" s="16" t="s">
        <v>293</v>
      </c>
    </row>
    <row r="28" customFormat="false" ht="15" hidden="false" customHeight="false" outlineLevel="0" collapsed="false">
      <c r="A28" s="16" t="n">
        <v>1</v>
      </c>
      <c r="B28" s="16" t="s">
        <v>296</v>
      </c>
      <c r="C28" s="16" t="s">
        <v>279</v>
      </c>
      <c r="D28" s="16" t="s">
        <v>276</v>
      </c>
      <c r="E28" s="16" t="s">
        <v>279</v>
      </c>
      <c r="F28" s="16" t="s">
        <v>296</v>
      </c>
    </row>
    <row r="29" customFormat="false" ht="15" hidden="false" customHeight="false" outlineLevel="0" collapsed="false">
      <c r="A29" s="16" t="n">
        <v>2</v>
      </c>
      <c r="B29" s="16" t="s">
        <v>264</v>
      </c>
      <c r="C29" s="16" t="s">
        <v>287</v>
      </c>
      <c r="D29" s="16" t="s">
        <v>270</v>
      </c>
      <c r="E29" s="16" t="s">
        <v>287</v>
      </c>
      <c r="F29" s="16" t="s">
        <v>264</v>
      </c>
    </row>
    <row r="30" customFormat="false" ht="15" hidden="false" customHeight="false" outlineLevel="0" collapsed="false">
      <c r="A30" s="16" t="n">
        <v>3</v>
      </c>
      <c r="B30" s="16" t="s">
        <v>293</v>
      </c>
      <c r="C30" s="16" t="s">
        <v>293</v>
      </c>
      <c r="D30" s="16" t="s">
        <v>282</v>
      </c>
      <c r="E30" s="16" t="s">
        <v>293</v>
      </c>
      <c r="F30" s="16" t="s">
        <v>293</v>
      </c>
    </row>
    <row r="31" customFormat="false" ht="15" hidden="false" customHeight="false" outlineLevel="0" collapsed="false">
      <c r="A31" s="16" t="n">
        <v>4</v>
      </c>
      <c r="B31" s="16" t="s">
        <v>282</v>
      </c>
      <c r="C31" s="16" t="s">
        <v>312</v>
      </c>
      <c r="D31" s="16" t="s">
        <v>284</v>
      </c>
      <c r="E31" s="16" t="s">
        <v>312</v>
      </c>
      <c r="F31" s="16" t="s">
        <v>282</v>
      </c>
    </row>
    <row r="32" customFormat="false" ht="15" hidden="false" customHeight="false" outlineLevel="0" collapsed="false">
      <c r="A32" s="16" t="n">
        <v>5</v>
      </c>
      <c r="B32" s="16" t="s">
        <v>276</v>
      </c>
      <c r="C32" s="16" t="s">
        <v>308</v>
      </c>
      <c r="D32" s="16" t="s">
        <v>267</v>
      </c>
      <c r="E32" s="16" t="s">
        <v>308</v>
      </c>
      <c r="F32" s="16" t="s">
        <v>276</v>
      </c>
    </row>
    <row r="33" customFormat="false" ht="15" hidden="false" customHeight="false" outlineLevel="0" collapsed="false">
      <c r="A33" s="16" t="n">
        <v>6</v>
      </c>
      <c r="B33" s="16" t="s">
        <v>254</v>
      </c>
      <c r="C33" s="16" t="s">
        <v>293</v>
      </c>
      <c r="D33" s="16" t="s">
        <v>290</v>
      </c>
      <c r="E33" s="16" t="s">
        <v>293</v>
      </c>
      <c r="F33" s="16" t="s">
        <v>254</v>
      </c>
    </row>
    <row r="34" customFormat="false" ht="15" hidden="false" customHeight="false" outlineLevel="0" collapsed="false">
      <c r="A34" s="16" t="n">
        <v>7</v>
      </c>
      <c r="B34" s="16" t="s">
        <v>290</v>
      </c>
      <c r="C34" s="16" t="s">
        <v>279</v>
      </c>
      <c r="D34" s="16" t="s">
        <v>303</v>
      </c>
      <c r="E34" s="16" t="s">
        <v>282</v>
      </c>
      <c r="F34" s="16" t="s">
        <v>290</v>
      </c>
    </row>
    <row r="35" customFormat="false" ht="15" hidden="false" customHeight="false" outlineLevel="0" collapsed="false">
      <c r="A35" s="16" t="n">
        <v>8</v>
      </c>
      <c r="B35" s="16" t="s">
        <v>279</v>
      </c>
      <c r="C35" s="16" t="s">
        <v>270</v>
      </c>
      <c r="D35" s="16" t="s">
        <v>290</v>
      </c>
      <c r="E35" s="16" t="s">
        <v>270</v>
      </c>
      <c r="F35" s="16" t="s">
        <v>279</v>
      </c>
    </row>
    <row r="36" customFormat="false" ht="15" hidden="false" customHeight="false" outlineLevel="0" collapsed="false">
      <c r="A36" s="16" t="n">
        <v>9</v>
      </c>
      <c r="B36" s="16" t="s">
        <v>284</v>
      </c>
      <c r="C36" s="16" t="s">
        <v>290</v>
      </c>
      <c r="D36" s="16" t="s">
        <v>267</v>
      </c>
      <c r="E36" s="16" t="s">
        <v>290</v>
      </c>
      <c r="F36" s="16" t="s">
        <v>284</v>
      </c>
    </row>
    <row r="37" customFormat="false" ht="15" hidden="false" customHeight="false" outlineLevel="0" collapsed="false">
      <c r="A37" s="16" t="n">
        <v>10</v>
      </c>
      <c r="B37" s="16" t="s">
        <v>290</v>
      </c>
      <c r="C37" s="16" t="s">
        <v>303</v>
      </c>
      <c r="D37" s="16" t="s">
        <v>287</v>
      </c>
      <c r="E37" s="16" t="s">
        <v>303</v>
      </c>
      <c r="F37" s="16" t="s">
        <v>290</v>
      </c>
    </row>
    <row r="38" customFormat="false" ht="15" hidden="false" customHeight="false" outlineLevel="0" collapsed="false">
      <c r="A38" s="16" t="n">
        <v>11</v>
      </c>
      <c r="B38" s="16" t="s">
        <v>267</v>
      </c>
      <c r="C38" s="16" t="s">
        <v>254</v>
      </c>
      <c r="D38" s="16" t="s">
        <v>293</v>
      </c>
      <c r="E38" s="16" t="s">
        <v>254</v>
      </c>
      <c r="F38" s="16" t="s">
        <v>267</v>
      </c>
    </row>
    <row r="39" customFormat="false" ht="15" hidden="false" customHeight="false" outlineLevel="0" collapsed="false">
      <c r="A39" s="16" t="n">
        <v>12</v>
      </c>
      <c r="B39" s="16" t="s">
        <v>290</v>
      </c>
      <c r="C39" s="16" t="s">
        <v>287</v>
      </c>
      <c r="D39" s="16" t="s">
        <v>312</v>
      </c>
      <c r="E39" s="16" t="s">
        <v>287</v>
      </c>
      <c r="F39" s="16" t="s">
        <v>290</v>
      </c>
    </row>
    <row r="40" customFormat="false" ht="15" hidden="false" customHeight="false" outlineLevel="0" collapsed="false">
      <c r="A40" s="16" t="n">
        <v>13</v>
      </c>
      <c r="B40" s="16" t="s">
        <v>296</v>
      </c>
      <c r="C40" s="16" t="s">
        <v>270</v>
      </c>
      <c r="D40" s="16" t="s">
        <v>293</v>
      </c>
      <c r="E40" s="16" t="s">
        <v>270</v>
      </c>
      <c r="F40" s="16" t="s">
        <v>296</v>
      </c>
    </row>
    <row r="41" customFormat="false" ht="15" hidden="false" customHeight="false" outlineLevel="0" collapsed="false">
      <c r="A41" s="16" t="n">
        <v>14</v>
      </c>
      <c r="B41" s="16" t="s">
        <v>270</v>
      </c>
      <c r="C41" s="16" t="s">
        <v>282</v>
      </c>
      <c r="D41" s="16" t="s">
        <v>290</v>
      </c>
      <c r="E41" s="16" t="s">
        <v>282</v>
      </c>
      <c r="F41" s="16" t="s">
        <v>270</v>
      </c>
    </row>
    <row r="42" customFormat="false" ht="15" hidden="false" customHeight="false" outlineLevel="0" collapsed="false">
      <c r="A42" s="16" t="n">
        <v>15</v>
      </c>
      <c r="B42" s="16" t="s">
        <v>282</v>
      </c>
      <c r="C42" s="16" t="s">
        <v>254</v>
      </c>
      <c r="D42" s="16" t="s">
        <v>293</v>
      </c>
      <c r="E42" s="16" t="s">
        <v>254</v>
      </c>
      <c r="F42" s="16" t="s">
        <v>282</v>
      </c>
    </row>
    <row r="43" customFormat="false" ht="15" hidden="false" customHeight="false" outlineLevel="0" collapsed="false">
      <c r="A43" s="16" t="n">
        <v>16</v>
      </c>
      <c r="B43" s="16" t="s">
        <v>270</v>
      </c>
      <c r="C43" s="16" t="s">
        <v>296</v>
      </c>
      <c r="D43" s="16" t="s">
        <v>284</v>
      </c>
      <c r="E43" s="16" t="s">
        <v>296</v>
      </c>
      <c r="F43" s="16" t="s">
        <v>270</v>
      </c>
    </row>
    <row r="44" customFormat="false" ht="15" hidden="false" customHeight="false" outlineLevel="0" collapsed="false">
      <c r="A44" s="16" t="n">
        <v>17</v>
      </c>
      <c r="B44" s="16" t="s">
        <v>276</v>
      </c>
      <c r="C44" s="16" t="s">
        <v>279</v>
      </c>
      <c r="D44" s="16" t="s">
        <v>264</v>
      </c>
      <c r="E44" s="16" t="s">
        <v>279</v>
      </c>
      <c r="F44" s="16" t="s">
        <v>276</v>
      </c>
    </row>
    <row r="45" customFormat="false" ht="15" hidden="false" customHeight="false" outlineLevel="0" collapsed="false">
      <c r="A45" s="16" t="n">
        <v>18</v>
      </c>
      <c r="B45" s="16" t="s">
        <v>260</v>
      </c>
      <c r="C45" s="16" t="s">
        <v>282</v>
      </c>
      <c r="D45" s="16" t="s">
        <v>254</v>
      </c>
      <c r="E45" s="16" t="s">
        <v>284</v>
      </c>
      <c r="F45" s="16" t="s">
        <v>260</v>
      </c>
    </row>
    <row r="46" customFormat="false" ht="15" hidden="false" customHeight="false" outlineLevel="0" collapsed="false">
      <c r="A46" s="16" t="n">
        <v>19</v>
      </c>
      <c r="B46" s="16" t="s">
        <v>260</v>
      </c>
      <c r="C46" s="16" t="s">
        <v>290</v>
      </c>
      <c r="D46" s="16" t="s">
        <v>284</v>
      </c>
      <c r="E46" s="16" t="s">
        <v>290</v>
      </c>
      <c r="F46" s="16" t="s">
        <v>260</v>
      </c>
    </row>
    <row r="47" customFormat="false" ht="15" hidden="false" customHeight="false" outlineLevel="0" collapsed="false">
      <c r="A47" s="16" t="n">
        <v>20</v>
      </c>
      <c r="B47" s="16" t="s">
        <v>267</v>
      </c>
      <c r="C47" s="16" t="s">
        <v>290</v>
      </c>
      <c r="D47" s="16" t="s">
        <v>279</v>
      </c>
      <c r="E47" s="16" t="s">
        <v>290</v>
      </c>
      <c r="F47" s="16" t="s">
        <v>267</v>
      </c>
    </row>
    <row r="48" customFormat="false" ht="15" hidden="false" customHeight="false" outlineLevel="0" collapsed="false">
      <c r="A48" s="16" t="n">
        <v>21</v>
      </c>
      <c r="B48" s="16" t="s">
        <v>293</v>
      </c>
      <c r="C48" s="16" t="s">
        <v>276</v>
      </c>
      <c r="D48" s="16" t="s">
        <v>264</v>
      </c>
      <c r="E48" s="16" t="s">
        <v>276</v>
      </c>
      <c r="F48" s="16" t="s">
        <v>293</v>
      </c>
    </row>
    <row r="49" customFormat="false" ht="15" hidden="false" customHeight="false" outlineLevel="0" collapsed="false">
      <c r="A49" s="16" t="n">
        <v>22</v>
      </c>
      <c r="B49" s="16" t="s">
        <v>290</v>
      </c>
      <c r="C49" s="16" t="s">
        <v>293</v>
      </c>
      <c r="D49" s="16" t="s">
        <v>260</v>
      </c>
      <c r="E49" s="16" t="s">
        <v>293</v>
      </c>
      <c r="F49" s="16" t="s">
        <v>293</v>
      </c>
    </row>
    <row r="50" customFormat="false" ht="15" hidden="false" customHeight="false" outlineLevel="0" collapsed="false">
      <c r="A50" s="16" t="n">
        <v>23</v>
      </c>
      <c r="B50" s="16" t="s">
        <v>290</v>
      </c>
      <c r="C50" s="16" t="s">
        <v>276</v>
      </c>
      <c r="D50" s="16" t="s">
        <v>267</v>
      </c>
      <c r="E50" s="16" t="s">
        <v>276</v>
      </c>
      <c r="F50" s="16" t="s">
        <v>290</v>
      </c>
    </row>
    <row r="51" customFormat="false" ht="15" hidden="false" customHeight="false" outlineLevel="0" collapsed="false">
      <c r="A51" s="16" t="n">
        <v>24</v>
      </c>
      <c r="B51" s="16" t="s">
        <v>267</v>
      </c>
      <c r="C51" s="16" t="s">
        <v>293</v>
      </c>
      <c r="D51" s="16" t="s">
        <v>312</v>
      </c>
      <c r="E51" s="16" t="s">
        <v>293</v>
      </c>
      <c r="F51" s="16" t="s">
        <v>267</v>
      </c>
    </row>
    <row r="52" customFormat="false" ht="15" hidden="false" customHeight="false" outlineLevel="0" collapsed="false">
      <c r="A52" s="16" t="n">
        <v>25</v>
      </c>
      <c r="B52" s="16" t="s">
        <v>254</v>
      </c>
      <c r="C52" s="16" t="s">
        <v>267</v>
      </c>
      <c r="D52" s="16" t="s">
        <v>303</v>
      </c>
      <c r="E52" s="16" t="s">
        <v>267</v>
      </c>
      <c r="F52" s="16" t="s">
        <v>254</v>
      </c>
    </row>
    <row r="53" customFormat="false" ht="15" hidden="false" customHeight="false" outlineLevel="0" collapsed="false">
      <c r="A53" s="16" t="n">
        <v>26</v>
      </c>
      <c r="B53" s="16" t="s">
        <v>276</v>
      </c>
      <c r="C53" s="16" t="s">
        <v>293</v>
      </c>
      <c r="D53" s="16" t="s">
        <v>296</v>
      </c>
      <c r="E53" s="16" t="s">
        <v>293</v>
      </c>
      <c r="F53" s="16" t="s">
        <v>276</v>
      </c>
    </row>
    <row r="54" customFormat="false" ht="15" hidden="false" customHeight="false" outlineLevel="0" collapsed="false">
      <c r="A54" s="16" t="n">
        <v>27</v>
      </c>
      <c r="B54" s="16" t="s">
        <v>282</v>
      </c>
      <c r="C54" s="16" t="s">
        <v>284</v>
      </c>
      <c r="D54" s="16" t="s">
        <v>290</v>
      </c>
      <c r="E54" s="16" t="s">
        <v>284</v>
      </c>
      <c r="F54" s="16" t="s">
        <v>282</v>
      </c>
    </row>
    <row r="55" customFormat="false" ht="15" hidden="false" customHeight="false" outlineLevel="0" collapsed="false">
      <c r="A55" s="16" t="n">
        <v>28</v>
      </c>
      <c r="B55" s="16" t="s">
        <v>293</v>
      </c>
      <c r="C55" s="16" t="s">
        <v>282</v>
      </c>
      <c r="D55" s="16" t="s">
        <v>287</v>
      </c>
      <c r="E55" s="16" t="s">
        <v>282</v>
      </c>
      <c r="F55" s="16" t="s">
        <v>293</v>
      </c>
    </row>
    <row r="56" customFormat="false" ht="15" hidden="false" customHeight="false" outlineLevel="0" collapsed="false">
      <c r="A56" s="16" t="n">
        <v>29</v>
      </c>
      <c r="B56" s="16" t="s">
        <v>284</v>
      </c>
      <c r="C56" s="16" t="s">
        <v>287</v>
      </c>
      <c r="D56" s="16" t="s">
        <v>282</v>
      </c>
      <c r="E56" s="16" t="s">
        <v>287</v>
      </c>
      <c r="F56" s="16" t="s">
        <v>284</v>
      </c>
    </row>
    <row r="57" customFormat="false" ht="15" hidden="false" customHeight="false" outlineLevel="0" collapsed="false">
      <c r="A57" s="16" t="n">
        <v>30</v>
      </c>
      <c r="B57" s="16" t="s">
        <v>276</v>
      </c>
      <c r="C57" s="16" t="s">
        <v>264</v>
      </c>
      <c r="D57" s="16" t="s">
        <v>260</v>
      </c>
      <c r="E57" s="16" t="s">
        <v>264</v>
      </c>
      <c r="F57" s="16" t="s">
        <v>276</v>
      </c>
    </row>
    <row r="58" customFormat="false" ht="15" hidden="false" customHeight="false" outlineLevel="0" collapsed="false">
      <c r="A58" s="16" t="n">
        <v>31</v>
      </c>
      <c r="B58" s="16" t="s">
        <v>308</v>
      </c>
      <c r="C58" s="16" t="s">
        <v>282</v>
      </c>
      <c r="D58" s="16" t="s">
        <v>312</v>
      </c>
      <c r="E58" s="16" t="s">
        <v>282</v>
      </c>
      <c r="F58" s="16" t="s">
        <v>308</v>
      </c>
    </row>
    <row r="59" customFormat="false" ht="15" hidden="false" customHeight="false" outlineLevel="0" collapsed="false">
      <c r="A59" s="16" t="n">
        <v>32</v>
      </c>
      <c r="B59" s="16" t="s">
        <v>267</v>
      </c>
      <c r="C59" s="16" t="s">
        <v>284</v>
      </c>
      <c r="D59" s="16" t="s">
        <v>287</v>
      </c>
      <c r="E59" s="16" t="s">
        <v>284</v>
      </c>
      <c r="F59" s="16" t="s">
        <v>267</v>
      </c>
    </row>
    <row r="60" customFormat="false" ht="15" hidden="false" customHeight="false" outlineLevel="0" collapsed="false">
      <c r="A60" s="16" t="n">
        <v>33</v>
      </c>
      <c r="B60" s="16" t="s">
        <v>267</v>
      </c>
      <c r="C60" s="16" t="s">
        <v>270</v>
      </c>
      <c r="D60" s="16" t="s">
        <v>260</v>
      </c>
      <c r="E60" s="16" t="s">
        <v>270</v>
      </c>
      <c r="F60" s="16" t="s">
        <v>267</v>
      </c>
    </row>
    <row r="61" customFormat="false" ht="15" hidden="false" customHeight="false" outlineLevel="0" collapsed="false">
      <c r="A61" s="16" t="n">
        <v>34</v>
      </c>
      <c r="B61" s="16" t="s">
        <v>287</v>
      </c>
      <c r="C61" s="16" t="s">
        <v>287</v>
      </c>
      <c r="D61" s="16" t="s">
        <v>284</v>
      </c>
      <c r="E61" s="16" t="s">
        <v>290</v>
      </c>
      <c r="F61" s="16" t="s">
        <v>290</v>
      </c>
    </row>
    <row r="62" customFormat="false" ht="15" hidden="false" customHeight="false" outlineLevel="0" collapsed="false">
      <c r="A62" s="16" t="n">
        <v>35</v>
      </c>
      <c r="B62" s="16" t="s">
        <v>260</v>
      </c>
      <c r="C62" s="16" t="s">
        <v>267</v>
      </c>
      <c r="D62" s="16" t="s">
        <v>290</v>
      </c>
      <c r="E62" s="16" t="s">
        <v>267</v>
      </c>
      <c r="F62" s="16" t="s">
        <v>260</v>
      </c>
    </row>
    <row r="63" customFormat="false" ht="15" hidden="false" customHeight="false" outlineLevel="0" collapsed="false">
      <c r="A63" s="16" t="n">
        <v>36</v>
      </c>
      <c r="B63" s="16" t="s">
        <v>290</v>
      </c>
      <c r="C63" s="16" t="s">
        <v>308</v>
      </c>
      <c r="D63" s="16" t="s">
        <v>308</v>
      </c>
      <c r="E63" s="16" t="s">
        <v>308</v>
      </c>
      <c r="F63" s="16" t="s">
        <v>290</v>
      </c>
    </row>
    <row r="64" customFormat="false" ht="15" hidden="false" customHeight="false" outlineLevel="0" collapsed="false">
      <c r="A64" s="16" t="n">
        <v>37</v>
      </c>
      <c r="B64" s="16" t="s">
        <v>279</v>
      </c>
      <c r="C64" s="16" t="s">
        <v>279</v>
      </c>
      <c r="D64" s="16" t="s">
        <v>279</v>
      </c>
      <c r="E64" s="16" t="s">
        <v>279</v>
      </c>
      <c r="F64" s="16" t="s">
        <v>279</v>
      </c>
    </row>
    <row r="65" customFormat="false" ht="15" hidden="false" customHeight="false" outlineLevel="0" collapsed="false">
      <c r="A65" s="16" t="n">
        <v>38</v>
      </c>
      <c r="B65" s="16" t="s">
        <v>279</v>
      </c>
      <c r="C65" s="16" t="s">
        <v>293</v>
      </c>
      <c r="D65" s="16" t="s">
        <v>270</v>
      </c>
      <c r="E65" s="16" t="s">
        <v>254</v>
      </c>
      <c r="F65" s="16" t="s">
        <v>279</v>
      </c>
    </row>
    <row r="66" customFormat="false" ht="15" hidden="false" customHeight="false" outlineLevel="0" collapsed="false">
      <c r="A66" s="16" t="n">
        <v>39</v>
      </c>
      <c r="B66" s="16" t="s">
        <v>279</v>
      </c>
      <c r="C66" s="16" t="s">
        <v>264</v>
      </c>
      <c r="D66" s="16" t="s">
        <v>293</v>
      </c>
      <c r="E66" s="16" t="s">
        <v>264</v>
      </c>
      <c r="F66" s="16" t="s">
        <v>279</v>
      </c>
    </row>
    <row r="67" customFormat="false" ht="15" hidden="false" customHeight="false" outlineLevel="0" collapsed="false">
      <c r="A67" s="16" t="n">
        <v>40</v>
      </c>
      <c r="B67" s="16" t="s">
        <v>282</v>
      </c>
      <c r="C67" s="16" t="s">
        <v>276</v>
      </c>
      <c r="D67" s="16" t="s">
        <v>287</v>
      </c>
      <c r="E67" s="16" t="s">
        <v>276</v>
      </c>
      <c r="F67" s="16" t="s">
        <v>282</v>
      </c>
    </row>
    <row r="68" customFormat="false" ht="15" hidden="false" customHeight="false" outlineLevel="0" collapsed="false">
      <c r="A68" s="16" t="n">
        <v>41</v>
      </c>
      <c r="B68" s="16" t="s">
        <v>287</v>
      </c>
      <c r="C68" s="16" t="s">
        <v>276</v>
      </c>
      <c r="D68" s="16" t="s">
        <v>293</v>
      </c>
      <c r="E68" s="16" t="s">
        <v>279</v>
      </c>
      <c r="F68" s="16" t="s">
        <v>287</v>
      </c>
    </row>
    <row r="69" customFormat="false" ht="15" hidden="false" customHeight="false" outlineLevel="0" collapsed="false">
      <c r="A69" s="16" t="n">
        <v>42</v>
      </c>
      <c r="B69" s="16" t="s">
        <v>287</v>
      </c>
      <c r="C69" s="16" t="s">
        <v>267</v>
      </c>
      <c r="D69" s="16" t="s">
        <v>282</v>
      </c>
      <c r="E69" s="16" t="s">
        <v>267</v>
      </c>
      <c r="F69" s="16" t="s">
        <v>287</v>
      </c>
    </row>
    <row r="70" customFormat="false" ht="15" hidden="false" customHeight="false" outlineLevel="0" collapsed="false">
      <c r="A70" s="16" t="n">
        <v>43</v>
      </c>
      <c r="B70" s="16" t="s">
        <v>296</v>
      </c>
      <c r="C70" s="16" t="s">
        <v>284</v>
      </c>
      <c r="D70" s="16" t="s">
        <v>276</v>
      </c>
      <c r="E70" s="16" t="s">
        <v>284</v>
      </c>
      <c r="F70" s="16" t="s">
        <v>296</v>
      </c>
    </row>
    <row r="71" customFormat="false" ht="15" hidden="false" customHeight="false" outlineLevel="0" collapsed="false">
      <c r="A71" s="16" t="n">
        <v>44</v>
      </c>
      <c r="B71" s="16" t="s">
        <v>287</v>
      </c>
      <c r="C71" s="16" t="s">
        <v>287</v>
      </c>
      <c r="D71" s="16" t="s">
        <v>276</v>
      </c>
      <c r="E71" s="16" t="s">
        <v>287</v>
      </c>
      <c r="F71" s="16" t="s">
        <v>287</v>
      </c>
    </row>
    <row r="72" customFormat="false" ht="15" hidden="false" customHeight="false" outlineLevel="0" collapsed="false">
      <c r="A72" s="16" t="n">
        <v>45</v>
      </c>
      <c r="B72" s="16" t="s">
        <v>287</v>
      </c>
      <c r="C72" s="16" t="s">
        <v>267</v>
      </c>
      <c r="D72" s="16" t="s">
        <v>267</v>
      </c>
      <c r="E72" s="16" t="s">
        <v>267</v>
      </c>
      <c r="F72" s="16" t="s">
        <v>287</v>
      </c>
    </row>
    <row r="73" customFormat="false" ht="15" hidden="false" customHeight="false" outlineLevel="0" collapsed="false">
      <c r="A73" s="16" t="n">
        <v>46</v>
      </c>
      <c r="B73" s="16" t="s">
        <v>290</v>
      </c>
      <c r="C73" s="16" t="s">
        <v>267</v>
      </c>
      <c r="D73" s="16" t="s">
        <v>287</v>
      </c>
      <c r="E73" s="16" t="s">
        <v>267</v>
      </c>
      <c r="F73" s="16" t="s">
        <v>290</v>
      </c>
    </row>
    <row r="74" customFormat="false" ht="15" hidden="false" customHeight="false" outlineLevel="0" collapsed="false">
      <c r="A74" s="16" t="n">
        <v>47</v>
      </c>
      <c r="B74" s="16" t="s">
        <v>270</v>
      </c>
      <c r="C74" s="16" t="s">
        <v>260</v>
      </c>
      <c r="D74" s="16" t="s">
        <v>287</v>
      </c>
      <c r="E74" s="16" t="s">
        <v>260</v>
      </c>
      <c r="F74" s="16" t="s">
        <v>270</v>
      </c>
    </row>
    <row r="75" customFormat="false" ht="15" hidden="false" customHeight="false" outlineLevel="0" collapsed="false">
      <c r="A75" s="16" t="n">
        <v>48</v>
      </c>
      <c r="B75" s="16" t="s">
        <v>293</v>
      </c>
      <c r="C75" s="16" t="s">
        <v>264</v>
      </c>
      <c r="D75" s="16" t="s">
        <v>279</v>
      </c>
      <c r="E75" s="16" t="s">
        <v>264</v>
      </c>
      <c r="F75" s="16" t="s">
        <v>254</v>
      </c>
    </row>
    <row r="76" customFormat="false" ht="15" hidden="false" customHeight="false" outlineLevel="0" collapsed="false">
      <c r="A76" s="16" t="n">
        <v>49</v>
      </c>
      <c r="B76" s="16" t="s">
        <v>293</v>
      </c>
      <c r="C76" s="16" t="s">
        <v>284</v>
      </c>
      <c r="D76" s="16" t="s">
        <v>279</v>
      </c>
      <c r="E76" s="16" t="s">
        <v>287</v>
      </c>
      <c r="F76" s="16" t="s">
        <v>293</v>
      </c>
    </row>
    <row r="77" customFormat="false" ht="15" hidden="false" customHeight="false" outlineLevel="0" collapsed="false">
      <c r="A77" s="16" t="n">
        <v>50</v>
      </c>
      <c r="B77" s="16" t="s">
        <v>264</v>
      </c>
      <c r="C77" s="16" t="s">
        <v>284</v>
      </c>
      <c r="D77" s="16" t="s">
        <v>264</v>
      </c>
      <c r="E77" s="16" t="s">
        <v>284</v>
      </c>
      <c r="F77" s="16" t="s">
        <v>264</v>
      </c>
    </row>
    <row r="78" customFormat="false" ht="15" hidden="false" customHeight="false" outlineLevel="0" collapsed="false">
      <c r="A78" s="16" t="n">
        <v>51</v>
      </c>
      <c r="B78" s="16" t="s">
        <v>284</v>
      </c>
      <c r="C78" s="16" t="s">
        <v>303</v>
      </c>
      <c r="D78" s="16" t="s">
        <v>267</v>
      </c>
      <c r="E78" s="16" t="s">
        <v>303</v>
      </c>
      <c r="F78" s="16" t="s">
        <v>287</v>
      </c>
    </row>
    <row r="79" customFormat="false" ht="15" hidden="false" customHeight="false" outlineLevel="0" collapsed="false">
      <c r="A79" s="16" t="n">
        <v>52</v>
      </c>
      <c r="B79" s="16" t="s">
        <v>284</v>
      </c>
      <c r="C79" s="16" t="s">
        <v>287</v>
      </c>
      <c r="D79" s="16" t="s">
        <v>254</v>
      </c>
      <c r="E79" s="16" t="s">
        <v>287</v>
      </c>
      <c r="F79" s="16" t="s">
        <v>284</v>
      </c>
    </row>
    <row r="80" customFormat="false" ht="15" hidden="false" customHeight="false" outlineLevel="0" collapsed="false">
      <c r="A80" s="16" t="n">
        <v>53</v>
      </c>
      <c r="B80" s="16" t="s">
        <v>282</v>
      </c>
      <c r="C80" s="16" t="s">
        <v>260</v>
      </c>
      <c r="D80" s="16" t="s">
        <v>264</v>
      </c>
      <c r="E80" s="16" t="s">
        <v>260</v>
      </c>
      <c r="F80" s="16" t="s">
        <v>282</v>
      </c>
    </row>
    <row r="81" customFormat="false" ht="15" hidden="false" customHeight="false" outlineLevel="0" collapsed="false">
      <c r="A81" s="16" t="n">
        <v>54</v>
      </c>
      <c r="B81" s="16" t="s">
        <v>287</v>
      </c>
      <c r="C81" s="16" t="s">
        <v>264</v>
      </c>
      <c r="D81" s="16" t="s">
        <v>282</v>
      </c>
      <c r="E81" s="16" t="s">
        <v>264</v>
      </c>
      <c r="F81" s="16" t="s">
        <v>287</v>
      </c>
    </row>
    <row r="82" customFormat="false" ht="15" hidden="false" customHeight="false" outlineLevel="0" collapsed="false">
      <c r="A82" s="16" t="n">
        <v>55</v>
      </c>
      <c r="B82" s="16" t="s">
        <v>264</v>
      </c>
      <c r="C82" s="16" t="s">
        <v>312</v>
      </c>
      <c r="D82" s="16" t="s">
        <v>270</v>
      </c>
      <c r="E82" s="16" t="s">
        <v>312</v>
      </c>
      <c r="F82" s="16" t="s">
        <v>264</v>
      </c>
    </row>
    <row r="83" customFormat="false" ht="15" hidden="false" customHeight="false" outlineLevel="0" collapsed="false">
      <c r="A83" s="16" t="n">
        <v>56</v>
      </c>
      <c r="B83" s="16" t="s">
        <v>293</v>
      </c>
      <c r="C83" s="16" t="s">
        <v>270</v>
      </c>
      <c r="D83" s="16" t="s">
        <v>276</v>
      </c>
      <c r="E83" s="16" t="s">
        <v>276</v>
      </c>
      <c r="F83" s="16" t="s">
        <v>293</v>
      </c>
    </row>
    <row r="84" customFormat="false" ht="15" hidden="false" customHeight="false" outlineLevel="0" collapsed="false">
      <c r="A84" s="16" t="n">
        <v>57</v>
      </c>
      <c r="B84" s="16" t="s">
        <v>284</v>
      </c>
      <c r="C84" s="16" t="s">
        <v>290</v>
      </c>
      <c r="D84" s="16" t="s">
        <v>264</v>
      </c>
      <c r="E84" s="16" t="s">
        <v>290</v>
      </c>
      <c r="F84" s="16" t="s">
        <v>284</v>
      </c>
    </row>
    <row r="85" customFormat="false" ht="15" hidden="false" customHeight="false" outlineLevel="0" collapsed="false">
      <c r="A85" s="16" t="n">
        <v>58</v>
      </c>
      <c r="B85" s="16" t="s">
        <v>284</v>
      </c>
      <c r="C85" s="16" t="s">
        <v>293</v>
      </c>
      <c r="D85" s="16" t="s">
        <v>270</v>
      </c>
      <c r="E85" s="16" t="s">
        <v>293</v>
      </c>
      <c r="F85" s="16" t="s">
        <v>284</v>
      </c>
    </row>
    <row r="86" customFormat="false" ht="15" hidden="false" customHeight="false" outlineLevel="0" collapsed="false">
      <c r="A86" s="16" t="n">
        <v>59</v>
      </c>
      <c r="B86" s="16" t="s">
        <v>264</v>
      </c>
      <c r="C86" s="16" t="s">
        <v>312</v>
      </c>
      <c r="D86" s="16" t="s">
        <v>254</v>
      </c>
      <c r="E86" s="16" t="s">
        <v>312</v>
      </c>
      <c r="F86" s="16" t="s">
        <v>264</v>
      </c>
    </row>
    <row r="87" customFormat="false" ht="15" hidden="false" customHeight="false" outlineLevel="0" collapsed="false">
      <c r="A87" s="16" t="n">
        <v>60</v>
      </c>
      <c r="B87" s="16"/>
      <c r="C87" s="16" t="s">
        <v>260</v>
      </c>
      <c r="D87" s="16" t="s">
        <v>296</v>
      </c>
      <c r="E87" s="16" t="s">
        <v>260</v>
      </c>
      <c r="F87" s="16"/>
    </row>
    <row r="88" customFormat="false" ht="15" hidden="false" customHeight="false" outlineLevel="0" collapsed="false">
      <c r="A88" s="16" t="n">
        <v>61</v>
      </c>
      <c r="B88" s="16"/>
      <c r="C88" s="16" t="s">
        <v>282</v>
      </c>
      <c r="D88" s="16" t="s">
        <v>293</v>
      </c>
      <c r="E88" s="16" t="s">
        <v>282</v>
      </c>
      <c r="F88" s="16"/>
    </row>
    <row r="89" customFormat="false" ht="15" hidden="false" customHeight="false" outlineLevel="0" collapsed="false">
      <c r="A89" s="16" t="n">
        <v>62</v>
      </c>
      <c r="B89" s="16"/>
      <c r="C89" s="16" t="s">
        <v>290</v>
      </c>
      <c r="D89" s="16" t="s">
        <v>290</v>
      </c>
      <c r="E89" s="16" t="s">
        <v>293</v>
      </c>
      <c r="F89" s="16"/>
    </row>
    <row r="90" customFormat="false" ht="15" hidden="false" customHeight="false" outlineLevel="0" collapsed="false">
      <c r="A90" s="16" t="n">
        <v>63</v>
      </c>
      <c r="B90" s="16"/>
      <c r="C90" s="16" t="s">
        <v>279</v>
      </c>
      <c r="D90" s="16" t="s">
        <v>293</v>
      </c>
      <c r="E90" s="16" t="s">
        <v>279</v>
      </c>
      <c r="F90" s="16"/>
    </row>
    <row r="91" customFormat="false" ht="15" hidden="false" customHeight="false" outlineLevel="0" collapsed="false">
      <c r="A91" s="16" t="n">
        <v>64</v>
      </c>
      <c r="B91" s="16"/>
      <c r="C91" s="16" t="s">
        <v>290</v>
      </c>
      <c r="D91" s="16" t="s">
        <v>284</v>
      </c>
      <c r="E91" s="16" t="s">
        <v>290</v>
      </c>
      <c r="F91" s="16"/>
    </row>
    <row r="92" customFormat="false" ht="15" hidden="false" customHeight="false" outlineLevel="0" collapsed="false">
      <c r="A92" s="16" t="n">
        <v>65</v>
      </c>
      <c r="B92" s="16"/>
      <c r="C92" s="16"/>
      <c r="D92" s="16" t="s">
        <v>260</v>
      </c>
      <c r="E92" s="16"/>
      <c r="F92" s="16"/>
    </row>
    <row r="93" customFormat="false" ht="15" hidden="false" customHeight="false" outlineLevel="0" collapsed="false">
      <c r="A93" s="16" t="n">
        <v>66</v>
      </c>
      <c r="B93" s="16"/>
      <c r="C93" s="16"/>
      <c r="D93" s="16" t="s">
        <v>282</v>
      </c>
      <c r="E93" s="16"/>
      <c r="F93" s="16"/>
    </row>
    <row r="94" customFormat="false" ht="15" hidden="false" customHeight="false" outlineLevel="0" collapsed="false">
      <c r="A94" s="16" t="n">
        <v>67</v>
      </c>
      <c r="B94" s="16"/>
      <c r="C94" s="16"/>
      <c r="D94" s="16" t="s">
        <v>279</v>
      </c>
      <c r="E94" s="16"/>
      <c r="F94" s="16"/>
    </row>
    <row r="95" customFormat="false" ht="15" hidden="false" customHeight="false" outlineLevel="0" collapsed="false">
      <c r="A95" s="16" t="n">
        <v>68</v>
      </c>
      <c r="B95" s="16"/>
      <c r="C95" s="16"/>
      <c r="D95" s="16" t="s">
        <v>290</v>
      </c>
      <c r="E95" s="16"/>
      <c r="F95" s="16"/>
    </row>
    <row r="96" customFormat="false" ht="15" hidden="false" customHeight="false" outlineLevel="0" collapsed="false">
      <c r="A96" s="16" t="n">
        <v>69</v>
      </c>
      <c r="B96" s="16"/>
      <c r="C96" s="16"/>
      <c r="D96" s="16" t="s">
        <v>276</v>
      </c>
      <c r="E96" s="16"/>
      <c r="F96" s="16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false"/>
  </sheetPr>
  <dimension ref="A1:G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6" min="2" style="0" width="10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15" t="s">
        <v>331</v>
      </c>
      <c r="B1" s="15"/>
      <c r="C1" s="15"/>
      <c r="D1" s="15"/>
      <c r="E1" s="15"/>
      <c r="F1" s="15"/>
      <c r="G1" s="15"/>
    </row>
    <row r="2" customFormat="false" ht="15" hidden="false" customHeight="false" outlineLevel="0" collapsed="false">
      <c r="A2" s="2" t="s">
        <v>319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320</v>
      </c>
    </row>
    <row r="5" customFormat="false" ht="15" hidden="false" customHeight="false" outlineLevel="0" collapsed="false">
      <c r="A5" s="9" t="s">
        <v>321</v>
      </c>
      <c r="B5" s="9" t="s">
        <v>322</v>
      </c>
      <c r="C5" s="9" t="s">
        <v>323</v>
      </c>
      <c r="D5" s="9" t="s">
        <v>324</v>
      </c>
      <c r="E5" s="9" t="s">
        <v>325</v>
      </c>
      <c r="F5" s="9" t="s">
        <v>326</v>
      </c>
      <c r="G5" s="9" t="s">
        <v>327</v>
      </c>
    </row>
    <row r="6" customFormat="false" ht="15" hidden="false" customHeight="false" outlineLevel="0" collapsed="false">
      <c r="A6" s="16" t="s">
        <v>254</v>
      </c>
      <c r="B6" s="13" t="n">
        <v>4</v>
      </c>
      <c r="C6" s="13" t="n">
        <v>4</v>
      </c>
      <c r="D6" s="13" t="n">
        <v>5</v>
      </c>
      <c r="E6" s="13" t="n">
        <v>4</v>
      </c>
      <c r="F6" s="13" t="n">
        <v>4</v>
      </c>
      <c r="G6" s="16" t="n">
        <f aca="false">SUM(B6:F6)</f>
        <v>21</v>
      </c>
    </row>
    <row r="7" customFormat="false" ht="15" hidden="false" customHeight="false" outlineLevel="0" collapsed="false">
      <c r="A7" s="16" t="s">
        <v>260</v>
      </c>
      <c r="B7" s="13" t="n">
        <v>5</v>
      </c>
      <c r="C7" s="13" t="n">
        <v>5</v>
      </c>
      <c r="D7" s="13" t="n">
        <v>5</v>
      </c>
      <c r="E7" s="13" t="n">
        <v>5</v>
      </c>
      <c r="F7" s="13" t="n">
        <v>5</v>
      </c>
      <c r="G7" s="16" t="n">
        <f aca="false">SUM(B7:F7)</f>
        <v>25</v>
      </c>
    </row>
    <row r="8" customFormat="false" ht="15" hidden="false" customHeight="false" outlineLevel="0" collapsed="false">
      <c r="A8" s="16" t="s">
        <v>264</v>
      </c>
      <c r="B8" s="13" t="n">
        <v>6</v>
      </c>
      <c r="C8" s="13" t="n">
        <v>6</v>
      </c>
      <c r="D8" s="13" t="n">
        <v>6</v>
      </c>
      <c r="E8" s="13" t="n">
        <v>6</v>
      </c>
      <c r="F8" s="13" t="n">
        <v>6</v>
      </c>
      <c r="G8" s="16" t="n">
        <f aca="false">SUM(B8:F8)</f>
        <v>30</v>
      </c>
    </row>
    <row r="9" customFormat="false" ht="15" hidden="false" customHeight="false" outlineLevel="0" collapsed="false">
      <c r="A9" s="16" t="s">
        <v>267</v>
      </c>
      <c r="B9" s="13" t="n">
        <v>7</v>
      </c>
      <c r="C9" s="13" t="n">
        <v>7</v>
      </c>
      <c r="D9" s="13" t="n">
        <v>7</v>
      </c>
      <c r="E9" s="13" t="n">
        <v>7</v>
      </c>
      <c r="F9" s="13" t="n">
        <v>7</v>
      </c>
      <c r="G9" s="16" t="n">
        <f aca="false">SUM(B9:F9)</f>
        <v>35</v>
      </c>
    </row>
    <row r="10" customFormat="false" ht="15" hidden="false" customHeight="false" outlineLevel="0" collapsed="false">
      <c r="A10" s="16" t="s">
        <v>270</v>
      </c>
      <c r="B10" s="13" t="n">
        <v>2</v>
      </c>
      <c r="C10" s="13" t="n">
        <v>4</v>
      </c>
      <c r="D10" s="13" t="n">
        <v>5</v>
      </c>
      <c r="E10" s="13" t="n">
        <v>4</v>
      </c>
      <c r="F10" s="13" t="n">
        <v>2</v>
      </c>
      <c r="G10" s="16" t="n">
        <f aca="false">SUM(B10:F10)</f>
        <v>17</v>
      </c>
    </row>
    <row r="11" customFormat="false" ht="15" hidden="false" customHeight="false" outlineLevel="0" collapsed="false">
      <c r="A11" s="16" t="s">
        <v>276</v>
      </c>
      <c r="B11" s="13" t="n">
        <v>4</v>
      </c>
      <c r="C11" s="13" t="n">
        <v>4</v>
      </c>
      <c r="D11" s="13" t="n">
        <v>5</v>
      </c>
      <c r="E11" s="13" t="n">
        <v>4</v>
      </c>
      <c r="F11" s="13" t="n">
        <v>4</v>
      </c>
      <c r="G11" s="16" t="n">
        <f aca="false">SUM(B11:F11)</f>
        <v>21</v>
      </c>
    </row>
    <row r="12" customFormat="false" ht="15" hidden="false" customHeight="false" outlineLevel="0" collapsed="false">
      <c r="A12" s="16" t="s">
        <v>279</v>
      </c>
      <c r="B12" s="13" t="n">
        <v>4</v>
      </c>
      <c r="C12" s="13" t="n">
        <v>4</v>
      </c>
      <c r="D12" s="13" t="n">
        <v>5</v>
      </c>
      <c r="E12" s="13" t="n">
        <v>4</v>
      </c>
      <c r="F12" s="13" t="n">
        <v>4</v>
      </c>
      <c r="G12" s="16" t="n">
        <f aca="false">SUM(B12:F12)</f>
        <v>21</v>
      </c>
    </row>
    <row r="13" customFormat="false" ht="15" hidden="false" customHeight="false" outlineLevel="0" collapsed="false">
      <c r="A13" s="16" t="s">
        <v>282</v>
      </c>
      <c r="B13" s="13" t="n">
        <v>4</v>
      </c>
      <c r="C13" s="13" t="n">
        <v>4</v>
      </c>
      <c r="D13" s="13" t="n">
        <v>5</v>
      </c>
      <c r="E13" s="13" t="n">
        <v>4</v>
      </c>
      <c r="F13" s="13" t="n">
        <v>4</v>
      </c>
      <c r="G13" s="16" t="n">
        <f aca="false">SUM(B13:F13)</f>
        <v>21</v>
      </c>
    </row>
    <row r="14" customFormat="false" ht="15" hidden="false" customHeight="false" outlineLevel="0" collapsed="false">
      <c r="A14" s="16" t="s">
        <v>284</v>
      </c>
      <c r="B14" s="13" t="n">
        <v>4</v>
      </c>
      <c r="C14" s="13" t="n">
        <v>4</v>
      </c>
      <c r="D14" s="13" t="n">
        <v>4</v>
      </c>
      <c r="E14" s="13" t="n">
        <v>4</v>
      </c>
      <c r="F14" s="13" t="n">
        <v>4</v>
      </c>
      <c r="G14" s="16" t="n">
        <f aca="false">SUM(B14:F14)</f>
        <v>20</v>
      </c>
    </row>
    <row r="15" customFormat="false" ht="15" hidden="false" customHeight="false" outlineLevel="0" collapsed="false">
      <c r="A15" s="16" t="s">
        <v>287</v>
      </c>
      <c r="B15" s="13" t="n">
        <v>4</v>
      </c>
      <c r="C15" s="13" t="n">
        <v>4</v>
      </c>
      <c r="D15" s="13" t="n">
        <v>4</v>
      </c>
      <c r="E15" s="13" t="n">
        <v>4</v>
      </c>
      <c r="F15" s="13" t="n">
        <v>4</v>
      </c>
      <c r="G15" s="16" t="n">
        <f aca="false">SUM(B15:F15)</f>
        <v>20</v>
      </c>
    </row>
    <row r="16" customFormat="false" ht="15" hidden="false" customHeight="false" outlineLevel="0" collapsed="false">
      <c r="A16" s="16" t="s">
        <v>290</v>
      </c>
      <c r="B16" s="13" t="n">
        <v>4</v>
      </c>
      <c r="C16" s="13" t="n">
        <v>4</v>
      </c>
      <c r="D16" s="13" t="n">
        <v>4</v>
      </c>
      <c r="E16" s="13" t="n">
        <v>4</v>
      </c>
      <c r="F16" s="13" t="n">
        <v>4</v>
      </c>
      <c r="G16" s="16" t="n">
        <f aca="false">SUM(B16:F16)</f>
        <v>20</v>
      </c>
    </row>
    <row r="17" customFormat="false" ht="15" hidden="false" customHeight="false" outlineLevel="0" collapsed="false">
      <c r="A17" s="16" t="s">
        <v>293</v>
      </c>
      <c r="B17" s="13" t="n">
        <v>4</v>
      </c>
      <c r="C17" s="13" t="n">
        <v>5</v>
      </c>
      <c r="D17" s="13" t="n">
        <v>5</v>
      </c>
      <c r="E17" s="13" t="n">
        <v>5</v>
      </c>
      <c r="F17" s="13" t="n">
        <v>4</v>
      </c>
      <c r="G17" s="16" t="n">
        <f aca="false">SUM(B17:F17)</f>
        <v>23</v>
      </c>
    </row>
    <row r="18" customFormat="false" ht="15" hidden="false" customHeight="false" outlineLevel="0" collapsed="false">
      <c r="A18" s="16" t="s">
        <v>296</v>
      </c>
      <c r="B18" s="13" t="n">
        <v>3</v>
      </c>
      <c r="C18" s="13" t="n">
        <v>3</v>
      </c>
      <c r="D18" s="13" t="n">
        <v>3</v>
      </c>
      <c r="E18" s="13" t="n">
        <v>3</v>
      </c>
      <c r="F18" s="13" t="n">
        <v>3</v>
      </c>
      <c r="G18" s="16" t="n">
        <f aca="false">SUM(B18:F18)</f>
        <v>15</v>
      </c>
    </row>
    <row r="19" customFormat="false" ht="15" hidden="false" customHeight="false" outlineLevel="0" collapsed="false">
      <c r="A19" s="16" t="s">
        <v>303</v>
      </c>
      <c r="B19" s="13" t="n">
        <v>1</v>
      </c>
      <c r="C19" s="13" t="n">
        <v>2</v>
      </c>
      <c r="D19" s="13" t="n">
        <v>2</v>
      </c>
      <c r="E19" s="13" t="n">
        <v>2</v>
      </c>
      <c r="F19" s="13" t="n">
        <v>1</v>
      </c>
      <c r="G19" s="16" t="n">
        <f aca="false">SUM(B19:F19)</f>
        <v>8</v>
      </c>
    </row>
    <row r="20" customFormat="false" ht="15" hidden="false" customHeight="false" outlineLevel="0" collapsed="false">
      <c r="A20" s="16" t="s">
        <v>308</v>
      </c>
      <c r="B20" s="13" t="n">
        <v>2</v>
      </c>
      <c r="C20" s="13" t="n">
        <v>2</v>
      </c>
      <c r="D20" s="13" t="n">
        <v>2</v>
      </c>
      <c r="E20" s="13" t="n">
        <v>2</v>
      </c>
      <c r="F20" s="13" t="n">
        <v>2</v>
      </c>
      <c r="G20" s="16" t="n">
        <f aca="false">SUM(B20:F20)</f>
        <v>10</v>
      </c>
    </row>
    <row r="21" customFormat="false" ht="15" hidden="false" customHeight="false" outlineLevel="0" collapsed="false">
      <c r="A21" s="16" t="s">
        <v>312</v>
      </c>
      <c r="B21" s="13" t="n">
        <v>2</v>
      </c>
      <c r="C21" s="13" t="n">
        <v>3</v>
      </c>
      <c r="D21" s="13" t="n">
        <v>3</v>
      </c>
      <c r="E21" s="13" t="n">
        <v>3</v>
      </c>
      <c r="F21" s="13" t="n">
        <v>2</v>
      </c>
      <c r="G21" s="16" t="n">
        <f aca="false">SUM(B21:F21)</f>
        <v>13</v>
      </c>
    </row>
    <row r="22" customFormat="false" ht="15" hidden="false" customHeight="false" outlineLevel="0" collapsed="false">
      <c r="A22" s="17" t="s">
        <v>328</v>
      </c>
      <c r="B22" s="18" t="n">
        <v>60</v>
      </c>
      <c r="C22" s="18" t="n">
        <v>65</v>
      </c>
      <c r="D22" s="18" t="n">
        <v>70</v>
      </c>
      <c r="E22" s="18" t="n">
        <v>65</v>
      </c>
      <c r="F22" s="18" t="n">
        <v>60</v>
      </c>
      <c r="G22" s="19" t="n">
        <f aca="false">SUM(B22:F22)</f>
        <v>320</v>
      </c>
    </row>
    <row r="23" customFormat="false" ht="15" hidden="false" customHeight="false" outlineLevel="0" collapsed="false">
      <c r="A23" s="20" t="s">
        <v>329</v>
      </c>
      <c r="B23" s="21" t="str">
        <f aca="false">IF(SUM(B6:B21)=B22,"OK","MISMATCH")</f>
        <v>OK</v>
      </c>
      <c r="C23" s="21" t="str">
        <f aca="false">IF(SUM(C6:C21)=C22,"OK","MISMATCH")</f>
        <v>OK</v>
      </c>
      <c r="D23" s="21" t="str">
        <f aca="false">IF(SUM(D6:D21)=D22,"OK","MISMATCH")</f>
        <v>OK</v>
      </c>
      <c r="E23" s="21" t="str">
        <f aca="false">IF(SUM(E6:E21)=E22,"OK","MISMATCH")</f>
        <v>OK</v>
      </c>
      <c r="F23" s="21" t="str">
        <f aca="false">IF(SUM(F6:F21)=F22,"OK","MISMATCH")</f>
        <v>OK</v>
      </c>
      <c r="G23" s="22"/>
    </row>
    <row r="25" customFormat="false" ht="15" hidden="false" customHeight="false" outlineLevel="0" collapsed="false">
      <c r="A25" s="3" t="s">
        <v>330</v>
      </c>
    </row>
    <row r="26" customFormat="false" ht="15" hidden="false" customHeight="false" outlineLevel="0" collapsed="false">
      <c r="A26" s="9" t="s">
        <v>17</v>
      </c>
      <c r="B26" s="9" t="s">
        <v>322</v>
      </c>
      <c r="C26" s="9" t="s">
        <v>323</v>
      </c>
      <c r="D26" s="9" t="s">
        <v>324</v>
      </c>
      <c r="E26" s="9" t="s">
        <v>325</v>
      </c>
      <c r="F26" s="9" t="s">
        <v>326</v>
      </c>
    </row>
    <row r="27" customFormat="false" ht="15" hidden="false" customHeight="false" outlineLevel="0" collapsed="false">
      <c r="A27" s="16" t="n">
        <v>0</v>
      </c>
      <c r="B27" s="16" t="s">
        <v>260</v>
      </c>
      <c r="C27" s="16" t="s">
        <v>296</v>
      </c>
      <c r="D27" s="16" t="s">
        <v>284</v>
      </c>
      <c r="E27" s="16" t="s">
        <v>296</v>
      </c>
      <c r="F27" s="16" t="s">
        <v>260</v>
      </c>
    </row>
    <row r="28" customFormat="false" ht="15" hidden="false" customHeight="false" outlineLevel="0" collapsed="false">
      <c r="A28" s="16" t="n">
        <v>1</v>
      </c>
      <c r="B28" s="16" t="s">
        <v>296</v>
      </c>
      <c r="C28" s="16" t="s">
        <v>276</v>
      </c>
      <c r="D28" s="16" t="s">
        <v>270</v>
      </c>
      <c r="E28" s="16" t="s">
        <v>276</v>
      </c>
      <c r="F28" s="16" t="s">
        <v>296</v>
      </c>
    </row>
    <row r="29" customFormat="false" ht="15" hidden="false" customHeight="false" outlineLevel="0" collapsed="false">
      <c r="A29" s="16" t="n">
        <v>2</v>
      </c>
      <c r="B29" s="16" t="s">
        <v>267</v>
      </c>
      <c r="C29" s="16" t="s">
        <v>290</v>
      </c>
      <c r="D29" s="16" t="s">
        <v>270</v>
      </c>
      <c r="E29" s="16" t="s">
        <v>290</v>
      </c>
      <c r="F29" s="16" t="s">
        <v>267</v>
      </c>
    </row>
    <row r="30" customFormat="false" ht="15" hidden="false" customHeight="false" outlineLevel="0" collapsed="false">
      <c r="A30" s="16" t="n">
        <v>3</v>
      </c>
      <c r="B30" s="16" t="s">
        <v>264</v>
      </c>
      <c r="C30" s="16" t="s">
        <v>260</v>
      </c>
      <c r="D30" s="16" t="s">
        <v>282</v>
      </c>
      <c r="E30" s="16" t="s">
        <v>260</v>
      </c>
      <c r="F30" s="16" t="s">
        <v>264</v>
      </c>
    </row>
    <row r="31" customFormat="false" ht="15" hidden="false" customHeight="false" outlineLevel="0" collapsed="false">
      <c r="A31" s="16" t="n">
        <v>4</v>
      </c>
      <c r="B31" s="16" t="s">
        <v>282</v>
      </c>
      <c r="C31" s="16" t="s">
        <v>308</v>
      </c>
      <c r="D31" s="16" t="s">
        <v>284</v>
      </c>
      <c r="E31" s="16" t="s">
        <v>308</v>
      </c>
      <c r="F31" s="16" t="s">
        <v>282</v>
      </c>
    </row>
    <row r="32" customFormat="false" ht="15" hidden="false" customHeight="false" outlineLevel="0" collapsed="false">
      <c r="A32" s="16" t="n">
        <v>5</v>
      </c>
      <c r="B32" s="16" t="s">
        <v>276</v>
      </c>
      <c r="C32" s="16" t="s">
        <v>308</v>
      </c>
      <c r="D32" s="16" t="s">
        <v>267</v>
      </c>
      <c r="E32" s="16" t="s">
        <v>308</v>
      </c>
      <c r="F32" s="16" t="s">
        <v>276</v>
      </c>
    </row>
    <row r="33" customFormat="false" ht="15" hidden="false" customHeight="false" outlineLevel="0" collapsed="false">
      <c r="A33" s="16" t="n">
        <v>6</v>
      </c>
      <c r="B33" s="16" t="s">
        <v>264</v>
      </c>
      <c r="C33" s="16" t="s">
        <v>260</v>
      </c>
      <c r="D33" s="16" t="s">
        <v>293</v>
      </c>
      <c r="E33" s="16" t="s">
        <v>260</v>
      </c>
      <c r="F33" s="16" t="s">
        <v>264</v>
      </c>
    </row>
    <row r="34" customFormat="false" ht="15" hidden="false" customHeight="false" outlineLevel="0" collapsed="false">
      <c r="A34" s="16" t="n">
        <v>7</v>
      </c>
      <c r="B34" s="16" t="s">
        <v>254</v>
      </c>
      <c r="C34" s="16" t="s">
        <v>279</v>
      </c>
      <c r="D34" s="16" t="s">
        <v>303</v>
      </c>
      <c r="E34" s="16" t="s">
        <v>279</v>
      </c>
      <c r="F34" s="16" t="s">
        <v>254</v>
      </c>
    </row>
    <row r="35" customFormat="false" ht="15" hidden="false" customHeight="false" outlineLevel="0" collapsed="false">
      <c r="A35" s="16" t="n">
        <v>8</v>
      </c>
      <c r="B35" s="16" t="s">
        <v>279</v>
      </c>
      <c r="C35" s="16" t="s">
        <v>270</v>
      </c>
      <c r="D35" s="16" t="s">
        <v>290</v>
      </c>
      <c r="E35" s="16" t="s">
        <v>270</v>
      </c>
      <c r="F35" s="16" t="s">
        <v>279</v>
      </c>
    </row>
    <row r="36" customFormat="false" ht="15" hidden="false" customHeight="false" outlineLevel="0" collapsed="false">
      <c r="A36" s="16" t="n">
        <v>9</v>
      </c>
      <c r="B36" s="16" t="s">
        <v>287</v>
      </c>
      <c r="C36" s="16" t="s">
        <v>293</v>
      </c>
      <c r="D36" s="16" t="s">
        <v>312</v>
      </c>
      <c r="E36" s="16" t="s">
        <v>293</v>
      </c>
      <c r="F36" s="16" t="s">
        <v>287</v>
      </c>
    </row>
    <row r="37" customFormat="false" ht="15" hidden="false" customHeight="false" outlineLevel="0" collapsed="false">
      <c r="A37" s="16" t="n">
        <v>10</v>
      </c>
      <c r="B37" s="16" t="s">
        <v>293</v>
      </c>
      <c r="C37" s="16" t="s">
        <v>303</v>
      </c>
      <c r="D37" s="16" t="s">
        <v>287</v>
      </c>
      <c r="E37" s="16" t="s">
        <v>303</v>
      </c>
      <c r="F37" s="16" t="s">
        <v>293</v>
      </c>
    </row>
    <row r="38" customFormat="false" ht="15" hidden="false" customHeight="false" outlineLevel="0" collapsed="false">
      <c r="A38" s="16" t="n">
        <v>11</v>
      </c>
      <c r="B38" s="16" t="s">
        <v>312</v>
      </c>
      <c r="C38" s="16" t="s">
        <v>264</v>
      </c>
      <c r="D38" s="16" t="s">
        <v>260</v>
      </c>
      <c r="E38" s="16" t="s">
        <v>264</v>
      </c>
      <c r="F38" s="16" t="s">
        <v>312</v>
      </c>
    </row>
    <row r="39" customFormat="false" ht="15" hidden="false" customHeight="false" outlineLevel="0" collapsed="false">
      <c r="A39" s="16" t="n">
        <v>12</v>
      </c>
      <c r="B39" s="16" t="s">
        <v>254</v>
      </c>
      <c r="C39" s="16" t="s">
        <v>287</v>
      </c>
      <c r="D39" s="16" t="s">
        <v>308</v>
      </c>
      <c r="E39" s="16" t="s">
        <v>287</v>
      </c>
      <c r="F39" s="16" t="s">
        <v>254</v>
      </c>
    </row>
    <row r="40" customFormat="false" ht="15" hidden="false" customHeight="false" outlineLevel="0" collapsed="false">
      <c r="A40" s="16" t="n">
        <v>13</v>
      </c>
      <c r="B40" s="16" t="s">
        <v>296</v>
      </c>
      <c r="C40" s="16" t="s">
        <v>270</v>
      </c>
      <c r="D40" s="16" t="s">
        <v>254</v>
      </c>
      <c r="E40" s="16" t="s">
        <v>270</v>
      </c>
      <c r="F40" s="16" t="s">
        <v>296</v>
      </c>
    </row>
    <row r="41" customFormat="false" ht="15" hidden="false" customHeight="false" outlineLevel="0" collapsed="false">
      <c r="A41" s="16" t="n">
        <v>14</v>
      </c>
      <c r="B41" s="16" t="s">
        <v>270</v>
      </c>
      <c r="C41" s="16" t="s">
        <v>282</v>
      </c>
      <c r="D41" s="16" t="s">
        <v>293</v>
      </c>
      <c r="E41" s="16" t="s">
        <v>282</v>
      </c>
      <c r="F41" s="16" t="s">
        <v>270</v>
      </c>
    </row>
    <row r="42" customFormat="false" ht="15" hidden="false" customHeight="false" outlineLevel="0" collapsed="false">
      <c r="A42" s="16" t="n">
        <v>15</v>
      </c>
      <c r="B42" s="16" t="s">
        <v>284</v>
      </c>
      <c r="C42" s="16" t="s">
        <v>264</v>
      </c>
      <c r="D42" s="16" t="s">
        <v>254</v>
      </c>
      <c r="E42" s="16" t="s">
        <v>264</v>
      </c>
      <c r="F42" s="16" t="s">
        <v>284</v>
      </c>
    </row>
    <row r="43" customFormat="false" ht="15" hidden="false" customHeight="false" outlineLevel="0" collapsed="false">
      <c r="A43" s="16" t="n">
        <v>16</v>
      </c>
      <c r="B43" s="16" t="s">
        <v>270</v>
      </c>
      <c r="C43" s="16" t="s">
        <v>296</v>
      </c>
      <c r="D43" s="16" t="s">
        <v>284</v>
      </c>
      <c r="E43" s="16" t="s">
        <v>296</v>
      </c>
      <c r="F43" s="16" t="s">
        <v>270</v>
      </c>
    </row>
    <row r="44" customFormat="false" ht="15" hidden="false" customHeight="false" outlineLevel="0" collapsed="false">
      <c r="A44" s="16" t="n">
        <v>17</v>
      </c>
      <c r="B44" s="16" t="s">
        <v>279</v>
      </c>
      <c r="C44" s="16" t="s">
        <v>279</v>
      </c>
      <c r="D44" s="16" t="s">
        <v>267</v>
      </c>
      <c r="E44" s="16" t="s">
        <v>279</v>
      </c>
      <c r="F44" s="16" t="s">
        <v>279</v>
      </c>
    </row>
    <row r="45" customFormat="false" ht="15" hidden="false" customHeight="false" outlineLevel="0" collapsed="false">
      <c r="A45" s="16" t="n">
        <v>18</v>
      </c>
      <c r="B45" s="16" t="s">
        <v>267</v>
      </c>
      <c r="C45" s="16" t="s">
        <v>284</v>
      </c>
      <c r="D45" s="16" t="s">
        <v>260</v>
      </c>
      <c r="E45" s="16" t="s">
        <v>284</v>
      </c>
      <c r="F45" s="16" t="s">
        <v>267</v>
      </c>
    </row>
    <row r="46" customFormat="false" ht="15" hidden="false" customHeight="false" outlineLevel="0" collapsed="false">
      <c r="A46" s="16" t="n">
        <v>19</v>
      </c>
      <c r="B46" s="16" t="s">
        <v>264</v>
      </c>
      <c r="C46" s="16" t="s">
        <v>293</v>
      </c>
      <c r="D46" s="16" t="s">
        <v>282</v>
      </c>
      <c r="E46" s="16" t="s">
        <v>293</v>
      </c>
      <c r="F46" s="16" t="s">
        <v>264</v>
      </c>
    </row>
    <row r="47" customFormat="false" ht="15" hidden="false" customHeight="false" outlineLevel="0" collapsed="false">
      <c r="A47" s="16" t="n">
        <v>20</v>
      </c>
      <c r="B47" s="16" t="s">
        <v>308</v>
      </c>
      <c r="C47" s="16" t="s">
        <v>293</v>
      </c>
      <c r="D47" s="16" t="s">
        <v>279</v>
      </c>
      <c r="E47" s="16" t="s">
        <v>293</v>
      </c>
      <c r="F47" s="16" t="s">
        <v>308</v>
      </c>
    </row>
    <row r="48" customFormat="false" ht="15" hidden="false" customHeight="false" outlineLevel="0" collapsed="false">
      <c r="A48" s="16" t="n">
        <v>21</v>
      </c>
      <c r="B48" s="16" t="s">
        <v>260</v>
      </c>
      <c r="C48" s="16" t="s">
        <v>270</v>
      </c>
      <c r="D48" s="16" t="s">
        <v>264</v>
      </c>
      <c r="E48" s="16" t="s">
        <v>270</v>
      </c>
      <c r="F48" s="16" t="s">
        <v>260</v>
      </c>
    </row>
    <row r="49" customFormat="false" ht="15" hidden="false" customHeight="false" outlineLevel="0" collapsed="false">
      <c r="A49" s="16" t="n">
        <v>22</v>
      </c>
      <c r="B49" s="16" t="s">
        <v>260</v>
      </c>
      <c r="C49" s="16" t="s">
        <v>254</v>
      </c>
      <c r="D49" s="16" t="s">
        <v>264</v>
      </c>
      <c r="E49" s="16" t="s">
        <v>254</v>
      </c>
      <c r="F49" s="16" t="s">
        <v>260</v>
      </c>
    </row>
    <row r="50" customFormat="false" ht="15" hidden="false" customHeight="false" outlineLevel="0" collapsed="false">
      <c r="A50" s="16" t="n">
        <v>23</v>
      </c>
      <c r="B50" s="16" t="s">
        <v>293</v>
      </c>
      <c r="C50" s="16" t="s">
        <v>276</v>
      </c>
      <c r="D50" s="16" t="s">
        <v>312</v>
      </c>
      <c r="E50" s="16" t="s">
        <v>276</v>
      </c>
      <c r="F50" s="16" t="s">
        <v>293</v>
      </c>
    </row>
    <row r="51" customFormat="false" ht="15" hidden="false" customHeight="false" outlineLevel="0" collapsed="false">
      <c r="A51" s="16" t="n">
        <v>24</v>
      </c>
      <c r="B51" s="16" t="s">
        <v>312</v>
      </c>
      <c r="C51" s="16" t="s">
        <v>260</v>
      </c>
      <c r="D51" s="16" t="s">
        <v>312</v>
      </c>
      <c r="E51" s="16" t="s">
        <v>260</v>
      </c>
      <c r="F51" s="16" t="s">
        <v>312</v>
      </c>
    </row>
    <row r="52" customFormat="false" ht="15" hidden="false" customHeight="false" outlineLevel="0" collapsed="false">
      <c r="A52" s="16" t="n">
        <v>25</v>
      </c>
      <c r="B52" s="16" t="s">
        <v>264</v>
      </c>
      <c r="C52" s="16" t="s">
        <v>267</v>
      </c>
      <c r="D52" s="16" t="s">
        <v>296</v>
      </c>
      <c r="E52" s="16" t="s">
        <v>267</v>
      </c>
      <c r="F52" s="16" t="s">
        <v>264</v>
      </c>
    </row>
    <row r="53" customFormat="false" ht="15" hidden="false" customHeight="false" outlineLevel="0" collapsed="false">
      <c r="A53" s="16" t="n">
        <v>26</v>
      </c>
      <c r="B53" s="16" t="s">
        <v>276</v>
      </c>
      <c r="C53" s="16" t="s">
        <v>254</v>
      </c>
      <c r="D53" s="16" t="s">
        <v>296</v>
      </c>
      <c r="E53" s="16" t="s">
        <v>254</v>
      </c>
      <c r="F53" s="16" t="s">
        <v>276</v>
      </c>
    </row>
    <row r="54" customFormat="false" ht="15" hidden="false" customHeight="false" outlineLevel="0" collapsed="false">
      <c r="A54" s="16" t="n">
        <v>27</v>
      </c>
      <c r="B54" s="16" t="s">
        <v>282</v>
      </c>
      <c r="C54" s="16" t="s">
        <v>284</v>
      </c>
      <c r="D54" s="16" t="s">
        <v>254</v>
      </c>
      <c r="E54" s="16" t="s">
        <v>284</v>
      </c>
      <c r="F54" s="16" t="s">
        <v>282</v>
      </c>
    </row>
    <row r="55" customFormat="false" ht="15" hidden="false" customHeight="false" outlineLevel="0" collapsed="false">
      <c r="A55" s="16" t="n">
        <v>28</v>
      </c>
      <c r="B55" s="16" t="s">
        <v>264</v>
      </c>
      <c r="C55" s="16" t="s">
        <v>282</v>
      </c>
      <c r="D55" s="16" t="s">
        <v>287</v>
      </c>
      <c r="E55" s="16" t="s">
        <v>282</v>
      </c>
      <c r="F55" s="16" t="s">
        <v>264</v>
      </c>
    </row>
    <row r="56" customFormat="false" ht="15" hidden="false" customHeight="false" outlineLevel="0" collapsed="false">
      <c r="A56" s="16" t="n">
        <v>29</v>
      </c>
      <c r="B56" s="16" t="s">
        <v>287</v>
      </c>
      <c r="C56" s="16" t="s">
        <v>287</v>
      </c>
      <c r="D56" s="16" t="s">
        <v>279</v>
      </c>
      <c r="E56" s="16" t="s">
        <v>287</v>
      </c>
      <c r="F56" s="16" t="s">
        <v>287</v>
      </c>
    </row>
    <row r="57" customFormat="false" ht="15" hidden="false" customHeight="false" outlineLevel="0" collapsed="false">
      <c r="A57" s="16" t="n">
        <v>30</v>
      </c>
      <c r="B57" s="16" t="s">
        <v>276</v>
      </c>
      <c r="C57" s="16" t="s">
        <v>267</v>
      </c>
      <c r="D57" s="16" t="s">
        <v>264</v>
      </c>
      <c r="E57" s="16" t="s">
        <v>267</v>
      </c>
      <c r="F57" s="16" t="s">
        <v>276</v>
      </c>
    </row>
    <row r="58" customFormat="false" ht="15" hidden="false" customHeight="false" outlineLevel="0" collapsed="false">
      <c r="A58" s="16" t="n">
        <v>31</v>
      </c>
      <c r="B58" s="16" t="s">
        <v>303</v>
      </c>
      <c r="C58" s="16" t="s">
        <v>282</v>
      </c>
      <c r="D58" s="16" t="s">
        <v>308</v>
      </c>
      <c r="E58" s="16" t="s">
        <v>282</v>
      </c>
      <c r="F58" s="16" t="s">
        <v>303</v>
      </c>
    </row>
    <row r="59" customFormat="false" ht="15" hidden="false" customHeight="false" outlineLevel="0" collapsed="false">
      <c r="A59" s="16" t="n">
        <v>32</v>
      </c>
      <c r="B59" s="16" t="s">
        <v>308</v>
      </c>
      <c r="C59" s="16" t="s">
        <v>287</v>
      </c>
      <c r="D59" s="16" t="s">
        <v>290</v>
      </c>
      <c r="E59" s="16" t="s">
        <v>287</v>
      </c>
      <c r="F59" s="16" t="s">
        <v>308</v>
      </c>
    </row>
    <row r="60" customFormat="false" ht="15" hidden="false" customHeight="false" outlineLevel="0" collapsed="false">
      <c r="A60" s="16" t="n">
        <v>33</v>
      </c>
      <c r="B60" s="16" t="s">
        <v>267</v>
      </c>
      <c r="C60" s="16" t="s">
        <v>293</v>
      </c>
      <c r="D60" s="16" t="s">
        <v>264</v>
      </c>
      <c r="E60" s="16" t="s">
        <v>293</v>
      </c>
      <c r="F60" s="16" t="s">
        <v>267</v>
      </c>
    </row>
    <row r="61" customFormat="false" ht="15" hidden="false" customHeight="false" outlineLevel="0" collapsed="false">
      <c r="A61" s="16" t="n">
        <v>34</v>
      </c>
      <c r="B61" s="16" t="s">
        <v>293</v>
      </c>
      <c r="C61" s="16" t="s">
        <v>290</v>
      </c>
      <c r="D61" s="16" t="s">
        <v>282</v>
      </c>
      <c r="E61" s="16" t="s">
        <v>290</v>
      </c>
      <c r="F61" s="16" t="s">
        <v>293</v>
      </c>
    </row>
    <row r="62" customFormat="false" ht="15" hidden="false" customHeight="false" outlineLevel="0" collapsed="false">
      <c r="A62" s="16" t="n">
        <v>35</v>
      </c>
      <c r="B62" s="16" t="s">
        <v>267</v>
      </c>
      <c r="C62" s="16" t="s">
        <v>267</v>
      </c>
      <c r="D62" s="16" t="s">
        <v>293</v>
      </c>
      <c r="E62" s="16" t="s">
        <v>267</v>
      </c>
      <c r="F62" s="16" t="s">
        <v>267</v>
      </c>
    </row>
    <row r="63" customFormat="false" ht="15" hidden="false" customHeight="false" outlineLevel="0" collapsed="false">
      <c r="A63" s="16" t="n">
        <v>36</v>
      </c>
      <c r="B63" s="16" t="s">
        <v>254</v>
      </c>
      <c r="C63" s="16" t="s">
        <v>303</v>
      </c>
      <c r="D63" s="16" t="s">
        <v>303</v>
      </c>
      <c r="E63" s="16" t="s">
        <v>303</v>
      </c>
      <c r="F63" s="16" t="s">
        <v>254</v>
      </c>
    </row>
    <row r="64" customFormat="false" ht="15" hidden="false" customHeight="false" outlineLevel="0" collapsed="false">
      <c r="A64" s="16" t="n">
        <v>37</v>
      </c>
      <c r="B64" s="16" t="s">
        <v>282</v>
      </c>
      <c r="C64" s="16" t="s">
        <v>279</v>
      </c>
      <c r="D64" s="16" t="s">
        <v>276</v>
      </c>
      <c r="E64" s="16" t="s">
        <v>279</v>
      </c>
      <c r="F64" s="16" t="s">
        <v>282</v>
      </c>
    </row>
    <row r="65" customFormat="false" ht="15" hidden="false" customHeight="false" outlineLevel="0" collapsed="false">
      <c r="A65" s="16" t="n">
        <v>38</v>
      </c>
      <c r="B65" s="16" t="s">
        <v>279</v>
      </c>
      <c r="C65" s="16" t="s">
        <v>260</v>
      </c>
      <c r="D65" s="16" t="s">
        <v>270</v>
      </c>
      <c r="E65" s="16" t="s">
        <v>260</v>
      </c>
      <c r="F65" s="16" t="s">
        <v>279</v>
      </c>
    </row>
    <row r="66" customFormat="false" ht="15" hidden="false" customHeight="false" outlineLevel="0" collapsed="false">
      <c r="A66" s="16" t="n">
        <v>39</v>
      </c>
      <c r="B66" s="16" t="s">
        <v>279</v>
      </c>
      <c r="C66" s="16" t="s">
        <v>267</v>
      </c>
      <c r="D66" s="16" t="s">
        <v>260</v>
      </c>
      <c r="E66" s="16" t="s">
        <v>267</v>
      </c>
      <c r="F66" s="16" t="s">
        <v>279</v>
      </c>
    </row>
    <row r="67" customFormat="false" ht="15" hidden="false" customHeight="false" outlineLevel="0" collapsed="false">
      <c r="A67" s="16" t="n">
        <v>40</v>
      </c>
      <c r="B67" s="16" t="s">
        <v>282</v>
      </c>
      <c r="C67" s="16" t="s">
        <v>276</v>
      </c>
      <c r="D67" s="16" t="s">
        <v>290</v>
      </c>
      <c r="E67" s="16" t="s">
        <v>276</v>
      </c>
      <c r="F67" s="16" t="s">
        <v>282</v>
      </c>
    </row>
    <row r="68" customFormat="false" ht="15" hidden="false" customHeight="false" outlineLevel="0" collapsed="false">
      <c r="A68" s="16" t="n">
        <v>41</v>
      </c>
      <c r="B68" s="16" t="s">
        <v>290</v>
      </c>
      <c r="C68" s="16" t="s">
        <v>276</v>
      </c>
      <c r="D68" s="16" t="s">
        <v>260</v>
      </c>
      <c r="E68" s="16" t="s">
        <v>276</v>
      </c>
      <c r="F68" s="16" t="s">
        <v>290</v>
      </c>
    </row>
    <row r="69" customFormat="false" ht="15" hidden="false" customHeight="false" outlineLevel="0" collapsed="false">
      <c r="A69" s="16" t="n">
        <v>42</v>
      </c>
      <c r="B69" s="16" t="s">
        <v>293</v>
      </c>
      <c r="C69" s="16" t="s">
        <v>312</v>
      </c>
      <c r="D69" s="16" t="s">
        <v>282</v>
      </c>
      <c r="E69" s="16" t="s">
        <v>312</v>
      </c>
      <c r="F69" s="16" t="s">
        <v>293</v>
      </c>
    </row>
    <row r="70" customFormat="false" ht="15" hidden="false" customHeight="false" outlineLevel="0" collapsed="false">
      <c r="A70" s="16" t="n">
        <v>43</v>
      </c>
      <c r="B70" s="16" t="s">
        <v>296</v>
      </c>
      <c r="C70" s="16" t="s">
        <v>284</v>
      </c>
      <c r="D70" s="16" t="s">
        <v>276</v>
      </c>
      <c r="E70" s="16" t="s">
        <v>284</v>
      </c>
      <c r="F70" s="16" t="s">
        <v>296</v>
      </c>
    </row>
    <row r="71" customFormat="false" ht="15" hidden="false" customHeight="false" outlineLevel="0" collapsed="false">
      <c r="A71" s="16" t="n">
        <v>44</v>
      </c>
      <c r="B71" s="16" t="s">
        <v>290</v>
      </c>
      <c r="C71" s="16" t="s">
        <v>290</v>
      </c>
      <c r="D71" s="16" t="s">
        <v>276</v>
      </c>
      <c r="E71" s="16" t="s">
        <v>290</v>
      </c>
      <c r="F71" s="16" t="s">
        <v>290</v>
      </c>
    </row>
    <row r="72" customFormat="false" ht="15" hidden="false" customHeight="false" outlineLevel="0" collapsed="false">
      <c r="A72" s="16" t="n">
        <v>45</v>
      </c>
      <c r="B72" s="16" t="s">
        <v>290</v>
      </c>
      <c r="C72" s="16" t="s">
        <v>267</v>
      </c>
      <c r="D72" s="16" t="s">
        <v>267</v>
      </c>
      <c r="E72" s="16" t="s">
        <v>267</v>
      </c>
      <c r="F72" s="16" t="s">
        <v>290</v>
      </c>
    </row>
    <row r="73" customFormat="false" ht="15" hidden="false" customHeight="false" outlineLevel="0" collapsed="false">
      <c r="A73" s="16" t="n">
        <v>46</v>
      </c>
      <c r="B73" s="16" t="s">
        <v>254</v>
      </c>
      <c r="C73" s="16" t="s">
        <v>267</v>
      </c>
      <c r="D73" s="16" t="s">
        <v>287</v>
      </c>
      <c r="E73" s="16" t="s">
        <v>267</v>
      </c>
      <c r="F73" s="16" t="s">
        <v>254</v>
      </c>
    </row>
    <row r="74" customFormat="false" ht="15" hidden="false" customHeight="false" outlineLevel="0" collapsed="false">
      <c r="A74" s="16" t="n">
        <v>47</v>
      </c>
      <c r="B74" s="16" t="s">
        <v>276</v>
      </c>
      <c r="C74" s="16" t="s">
        <v>264</v>
      </c>
      <c r="D74" s="16" t="s">
        <v>287</v>
      </c>
      <c r="E74" s="16" t="s">
        <v>264</v>
      </c>
      <c r="F74" s="16" t="s">
        <v>276</v>
      </c>
    </row>
    <row r="75" customFormat="false" ht="15" hidden="false" customHeight="false" outlineLevel="0" collapsed="false">
      <c r="A75" s="16" t="n">
        <v>48</v>
      </c>
      <c r="B75" s="16" t="s">
        <v>264</v>
      </c>
      <c r="C75" s="16" t="s">
        <v>264</v>
      </c>
      <c r="D75" s="16" t="s">
        <v>279</v>
      </c>
      <c r="E75" s="16" t="s">
        <v>264</v>
      </c>
      <c r="F75" s="16" t="s">
        <v>264</v>
      </c>
    </row>
    <row r="76" customFormat="false" ht="15" hidden="false" customHeight="false" outlineLevel="0" collapsed="false">
      <c r="A76" s="16" t="n">
        <v>49</v>
      </c>
      <c r="B76" s="16" t="s">
        <v>260</v>
      </c>
      <c r="C76" s="16" t="s">
        <v>287</v>
      </c>
      <c r="D76" s="16" t="s">
        <v>279</v>
      </c>
      <c r="E76" s="16" t="s">
        <v>287</v>
      </c>
      <c r="F76" s="16" t="s">
        <v>260</v>
      </c>
    </row>
    <row r="77" customFormat="false" ht="15" hidden="false" customHeight="false" outlineLevel="0" collapsed="false">
      <c r="A77" s="16" t="n">
        <v>50</v>
      </c>
      <c r="B77" s="16" t="s">
        <v>267</v>
      </c>
      <c r="C77" s="16" t="s">
        <v>284</v>
      </c>
      <c r="D77" s="16" t="s">
        <v>267</v>
      </c>
      <c r="E77" s="16" t="s">
        <v>284</v>
      </c>
      <c r="F77" s="16" t="s">
        <v>267</v>
      </c>
    </row>
    <row r="78" customFormat="false" ht="15" hidden="false" customHeight="false" outlineLevel="0" collapsed="false">
      <c r="A78" s="16" t="n">
        <v>51</v>
      </c>
      <c r="B78" s="16" t="s">
        <v>287</v>
      </c>
      <c r="C78" s="16" t="s">
        <v>296</v>
      </c>
      <c r="D78" s="16" t="s">
        <v>267</v>
      </c>
      <c r="E78" s="16" t="s">
        <v>296</v>
      </c>
      <c r="F78" s="16" t="s">
        <v>287</v>
      </c>
    </row>
    <row r="79" customFormat="false" ht="15" hidden="false" customHeight="false" outlineLevel="0" collapsed="false">
      <c r="A79" s="16" t="n">
        <v>52</v>
      </c>
      <c r="B79" s="16" t="s">
        <v>284</v>
      </c>
      <c r="C79" s="16" t="s">
        <v>290</v>
      </c>
      <c r="D79" s="16" t="s">
        <v>264</v>
      </c>
      <c r="E79" s="16" t="s">
        <v>290</v>
      </c>
      <c r="F79" s="16" t="s">
        <v>284</v>
      </c>
    </row>
    <row r="80" customFormat="false" ht="15" hidden="false" customHeight="false" outlineLevel="0" collapsed="false">
      <c r="A80" s="16" t="n">
        <v>53</v>
      </c>
      <c r="B80" s="16" t="s">
        <v>284</v>
      </c>
      <c r="C80" s="16" t="s">
        <v>264</v>
      </c>
      <c r="D80" s="16" t="s">
        <v>267</v>
      </c>
      <c r="E80" s="16" t="s">
        <v>264</v>
      </c>
      <c r="F80" s="16" t="s">
        <v>284</v>
      </c>
    </row>
    <row r="81" customFormat="false" ht="15" hidden="false" customHeight="false" outlineLevel="0" collapsed="false">
      <c r="A81" s="16" t="n">
        <v>54</v>
      </c>
      <c r="B81" s="16" t="s">
        <v>290</v>
      </c>
      <c r="C81" s="16" t="s">
        <v>267</v>
      </c>
      <c r="D81" s="16" t="s">
        <v>279</v>
      </c>
      <c r="E81" s="16" t="s">
        <v>267</v>
      </c>
      <c r="F81" s="16" t="s">
        <v>290</v>
      </c>
    </row>
    <row r="82" customFormat="false" ht="15" hidden="false" customHeight="false" outlineLevel="0" collapsed="false">
      <c r="A82" s="16" t="n">
        <v>55</v>
      </c>
      <c r="B82" s="16" t="s">
        <v>267</v>
      </c>
      <c r="C82" s="16" t="s">
        <v>312</v>
      </c>
      <c r="D82" s="16" t="s">
        <v>293</v>
      </c>
      <c r="E82" s="16" t="s">
        <v>312</v>
      </c>
      <c r="F82" s="16" t="s">
        <v>267</v>
      </c>
    </row>
    <row r="83" customFormat="false" ht="15" hidden="false" customHeight="false" outlineLevel="0" collapsed="false">
      <c r="A83" s="16" t="n">
        <v>56</v>
      </c>
      <c r="B83" s="16" t="s">
        <v>260</v>
      </c>
      <c r="C83" s="16" t="s">
        <v>270</v>
      </c>
      <c r="D83" s="16" t="s">
        <v>270</v>
      </c>
      <c r="E83" s="16" t="s">
        <v>270</v>
      </c>
      <c r="F83" s="16" t="s">
        <v>260</v>
      </c>
    </row>
    <row r="84" customFormat="false" ht="15" hidden="false" customHeight="false" outlineLevel="0" collapsed="false">
      <c r="A84" s="16" t="n">
        <v>57</v>
      </c>
      <c r="B84" s="16" t="s">
        <v>287</v>
      </c>
      <c r="C84" s="16" t="s">
        <v>293</v>
      </c>
      <c r="D84" s="16" t="s">
        <v>267</v>
      </c>
      <c r="E84" s="16" t="s">
        <v>293</v>
      </c>
      <c r="F84" s="16" t="s">
        <v>287</v>
      </c>
    </row>
    <row r="85" customFormat="false" ht="15" hidden="false" customHeight="false" outlineLevel="0" collapsed="false">
      <c r="A85" s="16" t="n">
        <v>58</v>
      </c>
      <c r="B85" s="16" t="s">
        <v>284</v>
      </c>
      <c r="C85" s="16" t="s">
        <v>260</v>
      </c>
      <c r="D85" s="16" t="s">
        <v>270</v>
      </c>
      <c r="E85" s="16" t="s">
        <v>260</v>
      </c>
      <c r="F85" s="16" t="s">
        <v>284</v>
      </c>
    </row>
    <row r="86" customFormat="false" ht="15" hidden="false" customHeight="false" outlineLevel="0" collapsed="false">
      <c r="A86" s="16" t="n">
        <v>59</v>
      </c>
      <c r="B86" s="16" t="s">
        <v>267</v>
      </c>
      <c r="C86" s="16" t="s">
        <v>312</v>
      </c>
      <c r="D86" s="16" t="s">
        <v>260</v>
      </c>
      <c r="E86" s="16" t="s">
        <v>312</v>
      </c>
      <c r="F86" s="16" t="s">
        <v>267</v>
      </c>
    </row>
    <row r="87" customFormat="false" ht="15" hidden="false" customHeight="false" outlineLevel="0" collapsed="false">
      <c r="A87" s="16" t="n">
        <v>60</v>
      </c>
      <c r="B87" s="16"/>
      <c r="C87" s="16" t="s">
        <v>264</v>
      </c>
      <c r="D87" s="16" t="s">
        <v>296</v>
      </c>
      <c r="E87" s="16" t="s">
        <v>264</v>
      </c>
      <c r="F87" s="16"/>
    </row>
    <row r="88" customFormat="false" ht="15" hidden="false" customHeight="false" outlineLevel="0" collapsed="false">
      <c r="A88" s="16" t="n">
        <v>61</v>
      </c>
      <c r="B88" s="16"/>
      <c r="C88" s="16" t="s">
        <v>282</v>
      </c>
      <c r="D88" s="16" t="s">
        <v>254</v>
      </c>
      <c r="E88" s="16" t="s">
        <v>282</v>
      </c>
      <c r="F88" s="16"/>
    </row>
    <row r="89" customFormat="false" ht="15" hidden="false" customHeight="false" outlineLevel="0" collapsed="false">
      <c r="A89" s="16" t="n">
        <v>62</v>
      </c>
      <c r="B89" s="16"/>
      <c r="C89" s="16" t="s">
        <v>254</v>
      </c>
      <c r="D89" s="16" t="s">
        <v>293</v>
      </c>
      <c r="E89" s="16" t="s">
        <v>254</v>
      </c>
      <c r="F89" s="16"/>
    </row>
    <row r="90" customFormat="false" ht="15" hidden="false" customHeight="false" outlineLevel="0" collapsed="false">
      <c r="A90" s="16" t="n">
        <v>63</v>
      </c>
      <c r="B90" s="16"/>
      <c r="C90" s="16" t="s">
        <v>279</v>
      </c>
      <c r="D90" s="16" t="s">
        <v>254</v>
      </c>
      <c r="E90" s="16" t="s">
        <v>279</v>
      </c>
      <c r="F90" s="16"/>
    </row>
    <row r="91" customFormat="false" ht="15" hidden="false" customHeight="false" outlineLevel="0" collapsed="false">
      <c r="A91" s="16" t="n">
        <v>64</v>
      </c>
      <c r="B91" s="16"/>
      <c r="C91" s="16" t="s">
        <v>254</v>
      </c>
      <c r="D91" s="16" t="s">
        <v>284</v>
      </c>
      <c r="E91" s="16" t="s">
        <v>254</v>
      </c>
      <c r="F91" s="16"/>
    </row>
    <row r="92" customFormat="false" ht="15" hidden="false" customHeight="false" outlineLevel="0" collapsed="false">
      <c r="A92" s="16" t="n">
        <v>65</v>
      </c>
      <c r="B92" s="16"/>
      <c r="C92" s="16"/>
      <c r="D92" s="16" t="s">
        <v>264</v>
      </c>
      <c r="E92" s="16"/>
      <c r="F92" s="16"/>
    </row>
    <row r="93" customFormat="false" ht="15" hidden="false" customHeight="false" outlineLevel="0" collapsed="false">
      <c r="A93" s="16" t="n">
        <v>66</v>
      </c>
      <c r="B93" s="16"/>
      <c r="C93" s="16"/>
      <c r="D93" s="16" t="s">
        <v>282</v>
      </c>
      <c r="E93" s="16"/>
      <c r="F93" s="16"/>
    </row>
    <row r="94" customFormat="false" ht="15" hidden="false" customHeight="false" outlineLevel="0" collapsed="false">
      <c r="A94" s="16" t="n">
        <v>67</v>
      </c>
      <c r="B94" s="16"/>
      <c r="C94" s="16"/>
      <c r="D94" s="16" t="s">
        <v>276</v>
      </c>
      <c r="E94" s="16"/>
      <c r="F94" s="16"/>
    </row>
    <row r="95" customFormat="false" ht="15" hidden="false" customHeight="false" outlineLevel="0" collapsed="false">
      <c r="A95" s="16" t="n">
        <v>68</v>
      </c>
      <c r="B95" s="16"/>
      <c r="C95" s="16"/>
      <c r="D95" s="16" t="s">
        <v>290</v>
      </c>
      <c r="E95" s="16"/>
      <c r="F95" s="16"/>
    </row>
    <row r="96" customFormat="false" ht="15" hidden="false" customHeight="false" outlineLevel="0" collapsed="false">
      <c r="A96" s="16" t="n">
        <v>69</v>
      </c>
      <c r="B96" s="16"/>
      <c r="C96" s="16"/>
      <c r="D96" s="16" t="s">
        <v>276</v>
      </c>
      <c r="E96" s="16"/>
      <c r="F96" s="16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6" min="2" style="0" width="12"/>
    <col collapsed="false" customWidth="true" hidden="false" outlineLevel="0" max="7" min="7" style="0" width="36"/>
    <col collapsed="false" customWidth="true" hidden="false" outlineLevel="0" max="9" min="8" style="0" width="10"/>
  </cols>
  <sheetData>
    <row r="1" customFormat="false" ht="30" hidden="false" customHeight="true" outlineLevel="0" collapsed="false">
      <c r="A1" s="9" t="s">
        <v>332</v>
      </c>
      <c r="B1" s="9" t="s">
        <v>333</v>
      </c>
      <c r="C1" s="9" t="s">
        <v>334</v>
      </c>
      <c r="D1" s="9" t="s">
        <v>335</v>
      </c>
      <c r="E1" s="9" t="s">
        <v>336</v>
      </c>
      <c r="F1" s="9" t="s">
        <v>337</v>
      </c>
      <c r="G1" s="9" t="s">
        <v>338</v>
      </c>
      <c r="H1" s="9" t="s">
        <v>339</v>
      </c>
      <c r="I1" s="9" t="s">
        <v>340</v>
      </c>
    </row>
    <row r="2" customFormat="false" ht="15" hidden="false" customHeight="false" outlineLevel="0" collapsed="false">
      <c r="A2" s="16" t="n">
        <v>1</v>
      </c>
      <c r="B2" s="13" t="n">
        <v>1</v>
      </c>
      <c r="C2" s="13" t="n">
        <v>1</v>
      </c>
      <c r="D2" s="13" t="n">
        <v>1</v>
      </c>
      <c r="E2" s="13" t="n">
        <v>1</v>
      </c>
      <c r="F2" s="13" t="n">
        <v>1</v>
      </c>
      <c r="G2" s="12" t="s">
        <v>341</v>
      </c>
      <c r="H2" s="12" t="s">
        <v>342</v>
      </c>
      <c r="I2" s="23" t="b">
        <f aca="false">TRUE()</f>
        <v>1</v>
      </c>
    </row>
    <row r="3" customFormat="false" ht="15" hidden="false" customHeight="false" outlineLevel="0" collapsed="false">
      <c r="A3" s="16" t="n">
        <v>2</v>
      </c>
      <c r="B3" s="13" t="n">
        <v>0</v>
      </c>
      <c r="C3" s="13" t="n">
        <v>0</v>
      </c>
      <c r="D3" s="13" t="n">
        <v>0</v>
      </c>
      <c r="E3" s="13" t="n">
        <v>0</v>
      </c>
      <c r="F3" s="13" t="n">
        <v>0</v>
      </c>
      <c r="G3" s="12" t="s">
        <v>343</v>
      </c>
      <c r="H3" s="12" t="s">
        <v>342</v>
      </c>
      <c r="I3" s="23" t="b">
        <f aca="false">TRUE()</f>
        <v>1</v>
      </c>
    </row>
    <row r="4" customFormat="false" ht="15" hidden="false" customHeight="false" outlineLevel="0" collapsed="false">
      <c r="A4" s="16" t="n">
        <v>3</v>
      </c>
      <c r="B4" s="13" t="n">
        <v>2</v>
      </c>
      <c r="C4" s="13" t="n">
        <v>2</v>
      </c>
      <c r="D4" s="13" t="n">
        <v>2</v>
      </c>
      <c r="E4" s="13" t="n">
        <v>2</v>
      </c>
      <c r="F4" s="13" t="n">
        <v>2</v>
      </c>
      <c r="G4" s="12" t="s">
        <v>344</v>
      </c>
      <c r="H4" s="12" t="s">
        <v>342</v>
      </c>
      <c r="I4" s="23" t="b">
        <f aca="false">TRUE()</f>
        <v>1</v>
      </c>
    </row>
    <row r="5" customFormat="false" ht="15" hidden="false" customHeight="false" outlineLevel="0" collapsed="false">
      <c r="A5" s="16" t="n">
        <v>4</v>
      </c>
      <c r="B5" s="13" t="n">
        <v>0</v>
      </c>
      <c r="C5" s="13" t="n">
        <v>1</v>
      </c>
      <c r="D5" s="13" t="n">
        <v>2</v>
      </c>
      <c r="E5" s="13" t="n">
        <v>1</v>
      </c>
      <c r="F5" s="13" t="n">
        <v>0</v>
      </c>
      <c r="G5" s="12" t="s">
        <v>345</v>
      </c>
      <c r="H5" s="12" t="s">
        <v>342</v>
      </c>
      <c r="I5" s="23" t="b">
        <f aca="false">TRUE()</f>
        <v>1</v>
      </c>
    </row>
    <row r="6" customFormat="false" ht="23.85" hidden="false" customHeight="false" outlineLevel="0" collapsed="false">
      <c r="A6" s="16" t="n">
        <v>5</v>
      </c>
      <c r="B6" s="13" t="n">
        <v>2</v>
      </c>
      <c r="C6" s="13" t="n">
        <v>1</v>
      </c>
      <c r="D6" s="13" t="n">
        <v>0</v>
      </c>
      <c r="E6" s="13" t="n">
        <v>1</v>
      </c>
      <c r="F6" s="13" t="n">
        <v>2</v>
      </c>
      <c r="G6" s="12" t="s">
        <v>346</v>
      </c>
      <c r="H6" s="12" t="s">
        <v>342</v>
      </c>
      <c r="I6" s="23" t="b">
        <f aca="false">TRUE()</f>
        <v>1</v>
      </c>
    </row>
    <row r="7" customFormat="false" ht="15" hidden="false" customHeight="false" outlineLevel="0" collapsed="false">
      <c r="A7" s="16" t="n">
        <v>6</v>
      </c>
      <c r="B7" s="13" t="n">
        <v>0</v>
      </c>
      <c r="C7" s="13" t="n">
        <v>0</v>
      </c>
      <c r="D7" s="13" t="n">
        <v>1</v>
      </c>
      <c r="E7" s="13" t="n">
        <v>2</v>
      </c>
      <c r="F7" s="13" t="n">
        <v>2</v>
      </c>
      <c r="G7" s="12" t="s">
        <v>347</v>
      </c>
      <c r="H7" s="12" t="s">
        <v>342</v>
      </c>
      <c r="I7" s="23" t="b">
        <f aca="false">TRUE()</f>
        <v>1</v>
      </c>
    </row>
    <row r="8" customFormat="false" ht="15" hidden="false" customHeight="false" outlineLevel="0" collapsed="false">
      <c r="A8" s="16" t="n">
        <v>7</v>
      </c>
      <c r="B8" s="13" t="n">
        <v>2</v>
      </c>
      <c r="C8" s="13" t="n">
        <v>2</v>
      </c>
      <c r="D8" s="13" t="n">
        <v>1</v>
      </c>
      <c r="E8" s="13" t="n">
        <v>0</v>
      </c>
      <c r="F8" s="13" t="n">
        <v>0</v>
      </c>
      <c r="G8" s="12" t="s">
        <v>348</v>
      </c>
      <c r="H8" s="12" t="s">
        <v>342</v>
      </c>
      <c r="I8" s="23" t="b">
        <f aca="false">TRUE()</f>
        <v>1</v>
      </c>
    </row>
    <row r="9" customFormat="false" ht="15" hidden="false" customHeight="false" outlineLevel="0" collapsed="false">
      <c r="A9" s="16" t="n">
        <v>8</v>
      </c>
      <c r="B9" s="13" t="n">
        <v>1</v>
      </c>
      <c r="C9" s="13" t="n">
        <v>0</v>
      </c>
      <c r="D9" s="13" t="n">
        <v>0</v>
      </c>
      <c r="E9" s="13" t="n">
        <v>0</v>
      </c>
      <c r="F9" s="13" t="n">
        <v>1</v>
      </c>
      <c r="G9" s="12" t="s">
        <v>349</v>
      </c>
      <c r="H9" s="12" t="s">
        <v>342</v>
      </c>
      <c r="I9" s="23" t="b">
        <f aca="false">TRUE()</f>
        <v>1</v>
      </c>
    </row>
    <row r="10" customFormat="false" ht="23.85" hidden="false" customHeight="false" outlineLevel="0" collapsed="false">
      <c r="A10" s="16" t="n">
        <v>9</v>
      </c>
      <c r="B10" s="13" t="n">
        <v>1</v>
      </c>
      <c r="C10" s="13" t="n">
        <v>2</v>
      </c>
      <c r="D10" s="13" t="n">
        <v>2</v>
      </c>
      <c r="E10" s="13" t="n">
        <v>2</v>
      </c>
      <c r="F10" s="13" t="n">
        <v>1</v>
      </c>
      <c r="G10" s="12" t="s">
        <v>350</v>
      </c>
      <c r="H10" s="12" t="s">
        <v>342</v>
      </c>
      <c r="I10" s="23" t="b">
        <f aca="false">TRUE()</f>
        <v>1</v>
      </c>
    </row>
    <row r="11" customFormat="false" ht="15" hidden="false" customHeight="false" outlineLevel="0" collapsed="false">
      <c r="A11" s="16" t="n">
        <v>10</v>
      </c>
      <c r="B11" s="13" t="n">
        <v>0</v>
      </c>
      <c r="C11" s="13" t="n">
        <v>1</v>
      </c>
      <c r="D11" s="13" t="n">
        <v>0</v>
      </c>
      <c r="E11" s="13" t="n">
        <v>1</v>
      </c>
      <c r="F11" s="13" t="n">
        <v>0</v>
      </c>
      <c r="G11" s="12" t="s">
        <v>351</v>
      </c>
      <c r="H11" s="12" t="s">
        <v>342</v>
      </c>
      <c r="I11" s="23" t="b">
        <f aca="false">TRUE()</f>
        <v>1</v>
      </c>
    </row>
    <row r="14" customFormat="false" ht="15" hidden="false" customHeight="false" outlineLevel="0" collapsed="false">
      <c r="A14" s="3" t="s">
        <v>352</v>
      </c>
      <c r="B14" s="24" t="n">
        <f aca="false">COUNTIF(I2:I11,TRUE())</f>
        <v>10</v>
      </c>
      <c r="C14" s="5" t="s">
        <v>353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5" min="4" style="0" width="14"/>
    <col collapsed="false" customWidth="true" hidden="false" outlineLevel="0" max="6" min="6" style="0" width="38"/>
  </cols>
  <sheetData>
    <row r="1" customFormat="false" ht="17.35" hidden="false" customHeight="false" outlineLevel="0" collapsed="false">
      <c r="A1" s="15" t="s">
        <v>354</v>
      </c>
      <c r="B1" s="15"/>
      <c r="C1" s="15"/>
      <c r="D1" s="15"/>
      <c r="E1" s="15"/>
      <c r="F1" s="15"/>
    </row>
    <row r="2" customFormat="false" ht="15" hidden="false" customHeight="false" outlineLevel="0" collapsed="false">
      <c r="A2" s="2" t="s">
        <v>355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9" t="s">
        <v>356</v>
      </c>
      <c r="B4" s="9" t="s">
        <v>245</v>
      </c>
      <c r="C4" s="9" t="s">
        <v>357</v>
      </c>
      <c r="D4" s="9" t="s">
        <v>358</v>
      </c>
      <c r="E4" s="9" t="s">
        <v>359</v>
      </c>
      <c r="F4" s="9" t="s">
        <v>253</v>
      </c>
    </row>
    <row r="5" customFormat="false" ht="15" hidden="false" customHeight="false" outlineLevel="0" collapsed="false">
      <c r="A5" s="12" t="s">
        <v>293</v>
      </c>
      <c r="B5" s="12" t="s">
        <v>294</v>
      </c>
      <c r="C5" s="13" t="n">
        <v>15</v>
      </c>
      <c r="D5" s="25" t="n">
        <f aca="false">C5/SUM(C$5:C$19)</f>
        <v>0.120967741935484</v>
      </c>
      <c r="E5" s="25" t="n">
        <f aca="false">D5</f>
        <v>0.120967741935484</v>
      </c>
      <c r="F5" s="12" t="s">
        <v>360</v>
      </c>
    </row>
    <row r="6" customFormat="false" ht="15" hidden="false" customHeight="false" outlineLevel="0" collapsed="false">
      <c r="A6" s="12" t="s">
        <v>290</v>
      </c>
      <c r="B6" s="12" t="s">
        <v>291</v>
      </c>
      <c r="C6" s="13" t="n">
        <v>14</v>
      </c>
      <c r="D6" s="25" t="n">
        <f aca="false">C6/SUM(C$5:C$19)</f>
        <v>0.112903225806452</v>
      </c>
      <c r="E6" s="25" t="n">
        <f aca="false">E5+D6</f>
        <v>0.233870967741936</v>
      </c>
      <c r="F6" s="12" t="s">
        <v>361</v>
      </c>
    </row>
    <row r="7" customFormat="false" ht="15" hidden="false" customHeight="false" outlineLevel="0" collapsed="false">
      <c r="A7" s="12" t="s">
        <v>287</v>
      </c>
      <c r="B7" s="12" t="s">
        <v>288</v>
      </c>
      <c r="C7" s="13" t="n">
        <v>13</v>
      </c>
      <c r="D7" s="25" t="n">
        <f aca="false">C7/SUM(C$5:C$19)</f>
        <v>0.104838709677419</v>
      </c>
      <c r="E7" s="25" t="n">
        <f aca="false">E6+D7</f>
        <v>0.338709677419355</v>
      </c>
      <c r="F7" s="12" t="s">
        <v>361</v>
      </c>
    </row>
    <row r="8" customFormat="false" ht="15" hidden="false" customHeight="false" outlineLevel="0" collapsed="false">
      <c r="A8" s="12" t="s">
        <v>284</v>
      </c>
      <c r="B8" s="12" t="s">
        <v>285</v>
      </c>
      <c r="C8" s="13" t="n">
        <v>12</v>
      </c>
      <c r="D8" s="25" t="n">
        <f aca="false">C8/SUM(C$5:C$19)</f>
        <v>0.0967741935483871</v>
      </c>
      <c r="E8" s="25" t="n">
        <f aca="false">E7+D8</f>
        <v>0.435483870967742</v>
      </c>
      <c r="F8" s="12" t="s">
        <v>361</v>
      </c>
    </row>
    <row r="9" customFormat="false" ht="15" hidden="false" customHeight="false" outlineLevel="0" collapsed="false">
      <c r="A9" s="12" t="s">
        <v>282</v>
      </c>
      <c r="B9" s="12" t="s">
        <v>4</v>
      </c>
      <c r="C9" s="13" t="n">
        <v>11</v>
      </c>
      <c r="D9" s="25" t="n">
        <f aca="false">C9/SUM(C$5:C$19)</f>
        <v>0.0887096774193548</v>
      </c>
      <c r="E9" s="25" t="n">
        <f aca="false">E8+D9</f>
        <v>0.524193548387097</v>
      </c>
      <c r="F9" s="12" t="s">
        <v>361</v>
      </c>
    </row>
    <row r="10" customFormat="false" ht="15" hidden="false" customHeight="false" outlineLevel="0" collapsed="false">
      <c r="A10" s="12" t="s">
        <v>279</v>
      </c>
      <c r="B10" s="12" t="s">
        <v>280</v>
      </c>
      <c r="C10" s="13" t="n">
        <v>10</v>
      </c>
      <c r="D10" s="25" t="n">
        <f aca="false">C10/SUM(C$5:C$19)</f>
        <v>0.0806451612903226</v>
      </c>
      <c r="E10" s="25" t="n">
        <f aca="false">E9+D10</f>
        <v>0.60483870967742</v>
      </c>
      <c r="F10" s="12" t="s">
        <v>361</v>
      </c>
    </row>
    <row r="11" customFormat="false" ht="15" hidden="false" customHeight="false" outlineLevel="0" collapsed="false">
      <c r="A11" s="12" t="s">
        <v>276</v>
      </c>
      <c r="B11" s="12" t="s">
        <v>277</v>
      </c>
      <c r="C11" s="13" t="n">
        <v>9</v>
      </c>
      <c r="D11" s="25" t="n">
        <f aca="false">C11/SUM(C$5:C$19)</f>
        <v>0.0725806451612903</v>
      </c>
      <c r="E11" s="25" t="n">
        <f aca="false">E10+D11</f>
        <v>0.67741935483871</v>
      </c>
      <c r="F11" s="12" t="s">
        <v>361</v>
      </c>
    </row>
    <row r="12" customFormat="false" ht="15" hidden="false" customHeight="false" outlineLevel="0" collapsed="false">
      <c r="A12" s="12" t="s">
        <v>270</v>
      </c>
      <c r="B12" s="12" t="s">
        <v>271</v>
      </c>
      <c r="C12" s="13" t="n">
        <v>8</v>
      </c>
      <c r="D12" s="25" t="n">
        <f aca="false">C12/SUM(C$5:C$19)</f>
        <v>0.0645161290322581</v>
      </c>
      <c r="E12" s="25" t="n">
        <f aca="false">E11+D12</f>
        <v>0.741935483870968</v>
      </c>
      <c r="F12" s="12" t="s">
        <v>362</v>
      </c>
    </row>
    <row r="13" customFormat="false" ht="15" hidden="false" customHeight="false" outlineLevel="0" collapsed="false">
      <c r="A13" s="12" t="s">
        <v>267</v>
      </c>
      <c r="B13" s="12" t="s">
        <v>363</v>
      </c>
      <c r="C13" s="13" t="n">
        <v>7</v>
      </c>
      <c r="D13" s="25" t="n">
        <f aca="false">C13/SUM(C$5:C$19)</f>
        <v>0.0564516129032258</v>
      </c>
      <c r="E13" s="25" t="n">
        <f aca="false">E12+D13</f>
        <v>0.798387096774194</v>
      </c>
      <c r="F13" s="12" t="s">
        <v>364</v>
      </c>
    </row>
    <row r="14" customFormat="false" ht="15" hidden="false" customHeight="false" outlineLevel="0" collapsed="false">
      <c r="A14" s="12" t="s">
        <v>264</v>
      </c>
      <c r="B14" s="12" t="s">
        <v>365</v>
      </c>
      <c r="C14" s="13" t="n">
        <v>6</v>
      </c>
      <c r="D14" s="25" t="n">
        <f aca="false">C14/SUM(C$5:C$19)</f>
        <v>0.0483870967741936</v>
      </c>
      <c r="E14" s="25" t="n">
        <f aca="false">E13+D14</f>
        <v>0.846774193548387</v>
      </c>
      <c r="F14" s="12" t="s">
        <v>366</v>
      </c>
    </row>
    <row r="15" customFormat="false" ht="15" hidden="false" customHeight="false" outlineLevel="0" collapsed="false">
      <c r="A15" s="12" t="s">
        <v>260</v>
      </c>
      <c r="B15" s="12" t="s">
        <v>367</v>
      </c>
      <c r="C15" s="13" t="n">
        <v>5</v>
      </c>
      <c r="D15" s="25" t="n">
        <f aca="false">C15/SUM(C$5:C$19)</f>
        <v>0.0403225806451613</v>
      </c>
      <c r="E15" s="25" t="n">
        <f aca="false">E14+D15</f>
        <v>0.887096774193549</v>
      </c>
      <c r="F15" s="12" t="s">
        <v>368</v>
      </c>
    </row>
    <row r="16" customFormat="false" ht="15" hidden="false" customHeight="false" outlineLevel="0" collapsed="false">
      <c r="A16" s="12" t="s">
        <v>254</v>
      </c>
      <c r="B16" s="12" t="s">
        <v>255</v>
      </c>
      <c r="C16" s="13" t="n">
        <v>4</v>
      </c>
      <c r="D16" s="25" t="n">
        <f aca="false">C16/SUM(C$5:C$19)</f>
        <v>0.032258064516129</v>
      </c>
      <c r="E16" s="25" t="n">
        <f aca="false">E15+D16</f>
        <v>0.919354838709678</v>
      </c>
      <c r="F16" s="12" t="s">
        <v>369</v>
      </c>
    </row>
    <row r="17" customFormat="false" ht="15" hidden="false" customHeight="false" outlineLevel="0" collapsed="false">
      <c r="A17" s="12" t="s">
        <v>296</v>
      </c>
      <c r="B17" s="12" t="s">
        <v>298</v>
      </c>
      <c r="C17" s="13" t="n">
        <v>3</v>
      </c>
      <c r="D17" s="25" t="n">
        <f aca="false">C17/SUM(C$5:C$19)</f>
        <v>0.0241935483870968</v>
      </c>
      <c r="E17" s="25" t="n">
        <f aca="false">E16+D17</f>
        <v>0.943548387096774</v>
      </c>
      <c r="F17" s="12" t="s">
        <v>370</v>
      </c>
    </row>
    <row r="18" customFormat="false" ht="15" hidden="false" customHeight="false" outlineLevel="0" collapsed="false">
      <c r="A18" s="12" t="s">
        <v>303</v>
      </c>
      <c r="B18" s="12" t="s">
        <v>40</v>
      </c>
      <c r="C18" s="13" t="n">
        <v>2</v>
      </c>
      <c r="D18" s="25" t="n">
        <f aca="false">C18/SUM(C$5:C$19)</f>
        <v>0.0161290322580645</v>
      </c>
      <c r="E18" s="25" t="n">
        <f aca="false">E17+D18</f>
        <v>0.959677419354839</v>
      </c>
      <c r="F18" s="12" t="s">
        <v>371</v>
      </c>
    </row>
    <row r="19" customFormat="false" ht="15" hidden="false" customHeight="false" outlineLevel="0" collapsed="false">
      <c r="A19" s="12" t="s">
        <v>308</v>
      </c>
      <c r="B19" s="12" t="s">
        <v>159</v>
      </c>
      <c r="C19" s="13" t="n">
        <v>5</v>
      </c>
      <c r="D19" s="25" t="n">
        <f aca="false">C19/SUM(C$5:C$19)</f>
        <v>0.0403225806451613</v>
      </c>
      <c r="E19" s="25" t="n">
        <f aca="false">E18+D19</f>
        <v>1</v>
      </c>
      <c r="F19" s="12" t="s">
        <v>372</v>
      </c>
    </row>
    <row r="20" customFormat="false" ht="15" hidden="false" customHeight="false" outlineLevel="0" collapsed="false">
      <c r="A20" s="26" t="s">
        <v>373</v>
      </c>
      <c r="B20" s="27"/>
      <c r="C20" s="28" t="n">
        <f aca="false">SUM(C5:C19)</f>
        <v>124</v>
      </c>
      <c r="D20" s="29" t="n">
        <f aca="false">SUM(D5:D19)</f>
        <v>1</v>
      </c>
      <c r="E20" s="27"/>
      <c r="F20" s="27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5" min="4" style="0" width="14"/>
    <col collapsed="false" customWidth="true" hidden="false" outlineLevel="0" max="6" min="6" style="0" width="38"/>
  </cols>
  <sheetData>
    <row r="1" customFormat="false" ht="17.35" hidden="false" customHeight="false" outlineLevel="0" collapsed="false">
      <c r="A1" s="15" t="s">
        <v>374</v>
      </c>
      <c r="B1" s="15"/>
      <c r="C1" s="15"/>
      <c r="D1" s="15"/>
      <c r="E1" s="15"/>
      <c r="F1" s="15"/>
    </row>
    <row r="2" customFormat="false" ht="15" hidden="false" customHeight="false" outlineLevel="0" collapsed="false">
      <c r="A2" s="2" t="s">
        <v>355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9" t="s">
        <v>356</v>
      </c>
      <c r="B4" s="9" t="s">
        <v>245</v>
      </c>
      <c r="C4" s="9" t="s">
        <v>357</v>
      </c>
      <c r="D4" s="9" t="s">
        <v>358</v>
      </c>
      <c r="E4" s="9" t="s">
        <v>359</v>
      </c>
      <c r="F4" s="9" t="s">
        <v>253</v>
      </c>
    </row>
    <row r="5" customFormat="false" ht="15" hidden="false" customHeight="false" outlineLevel="0" collapsed="false">
      <c r="A5" s="12" t="s">
        <v>293</v>
      </c>
      <c r="B5" s="12" t="s">
        <v>294</v>
      </c>
      <c r="C5" s="13" t="n">
        <v>8</v>
      </c>
      <c r="D5" s="25" t="n">
        <f aca="false">C5/SUM(C$5:C$19)</f>
        <v>0.0727272727272727</v>
      </c>
      <c r="E5" s="25" t="n">
        <f aca="false">D5</f>
        <v>0.0727272727272727</v>
      </c>
      <c r="F5" s="12" t="s">
        <v>361</v>
      </c>
    </row>
    <row r="6" customFormat="false" ht="15" hidden="false" customHeight="false" outlineLevel="0" collapsed="false">
      <c r="A6" s="12" t="s">
        <v>290</v>
      </c>
      <c r="B6" s="12" t="s">
        <v>291</v>
      </c>
      <c r="C6" s="13" t="n">
        <v>8</v>
      </c>
      <c r="D6" s="25" t="n">
        <f aca="false">C6/SUM(C$5:C$19)</f>
        <v>0.0727272727272727</v>
      </c>
      <c r="E6" s="25" t="n">
        <f aca="false">E5+D6</f>
        <v>0.145454545454545</v>
      </c>
      <c r="F6" s="12" t="s">
        <v>361</v>
      </c>
    </row>
    <row r="7" customFormat="false" ht="15" hidden="false" customHeight="false" outlineLevel="0" collapsed="false">
      <c r="A7" s="12" t="s">
        <v>287</v>
      </c>
      <c r="B7" s="12" t="s">
        <v>288</v>
      </c>
      <c r="C7" s="13" t="n">
        <v>8</v>
      </c>
      <c r="D7" s="25" t="n">
        <f aca="false">C7/SUM(C$5:C$19)</f>
        <v>0.0727272727272727</v>
      </c>
      <c r="E7" s="25" t="n">
        <f aca="false">E6+D7</f>
        <v>0.218181818181818</v>
      </c>
      <c r="F7" s="12" t="s">
        <v>361</v>
      </c>
    </row>
    <row r="8" customFormat="false" ht="15" hidden="false" customHeight="false" outlineLevel="0" collapsed="false">
      <c r="A8" s="12" t="s">
        <v>284</v>
      </c>
      <c r="B8" s="12" t="s">
        <v>285</v>
      </c>
      <c r="C8" s="13" t="n">
        <v>8</v>
      </c>
      <c r="D8" s="25" t="n">
        <f aca="false">C8/SUM(C$5:C$19)</f>
        <v>0.0727272727272727</v>
      </c>
      <c r="E8" s="25" t="n">
        <f aca="false">E7+D8</f>
        <v>0.290909090909091</v>
      </c>
      <c r="F8" s="12" t="s">
        <v>361</v>
      </c>
    </row>
    <row r="9" customFormat="false" ht="15" hidden="false" customHeight="false" outlineLevel="0" collapsed="false">
      <c r="A9" s="12" t="s">
        <v>282</v>
      </c>
      <c r="B9" s="12" t="s">
        <v>4</v>
      </c>
      <c r="C9" s="13" t="n">
        <v>8</v>
      </c>
      <c r="D9" s="25" t="n">
        <f aca="false">C9/SUM(C$5:C$19)</f>
        <v>0.0727272727272727</v>
      </c>
      <c r="E9" s="25" t="n">
        <f aca="false">E8+D9</f>
        <v>0.363636363636364</v>
      </c>
      <c r="F9" s="12" t="s">
        <v>361</v>
      </c>
    </row>
    <row r="10" customFormat="false" ht="15" hidden="false" customHeight="false" outlineLevel="0" collapsed="false">
      <c r="A10" s="12" t="s">
        <v>279</v>
      </c>
      <c r="B10" s="12" t="s">
        <v>280</v>
      </c>
      <c r="C10" s="13" t="n">
        <v>8</v>
      </c>
      <c r="D10" s="25" t="n">
        <f aca="false">C10/SUM(C$5:C$19)</f>
        <v>0.0727272727272727</v>
      </c>
      <c r="E10" s="25" t="n">
        <f aca="false">E9+D10</f>
        <v>0.436363636363636</v>
      </c>
      <c r="F10" s="12" t="s">
        <v>361</v>
      </c>
    </row>
    <row r="11" customFormat="false" ht="15" hidden="false" customHeight="false" outlineLevel="0" collapsed="false">
      <c r="A11" s="12" t="s">
        <v>276</v>
      </c>
      <c r="B11" s="12" t="s">
        <v>277</v>
      </c>
      <c r="C11" s="13" t="n">
        <v>8</v>
      </c>
      <c r="D11" s="25" t="n">
        <f aca="false">C11/SUM(C$5:C$19)</f>
        <v>0.0727272727272727</v>
      </c>
      <c r="E11" s="25" t="n">
        <f aca="false">E10+D11</f>
        <v>0.509090909090909</v>
      </c>
      <c r="F11" s="12" t="s">
        <v>361</v>
      </c>
    </row>
    <row r="12" customFormat="false" ht="15" hidden="false" customHeight="false" outlineLevel="0" collapsed="false">
      <c r="A12" s="12" t="s">
        <v>270</v>
      </c>
      <c r="B12" s="12" t="s">
        <v>271</v>
      </c>
      <c r="C12" s="13" t="n">
        <v>8</v>
      </c>
      <c r="D12" s="25" t="n">
        <f aca="false">C12/SUM(C$5:C$19)</f>
        <v>0.0727272727272727</v>
      </c>
      <c r="E12" s="25" t="n">
        <f aca="false">E11+D12</f>
        <v>0.581818181818182</v>
      </c>
      <c r="F12" s="12" t="s">
        <v>361</v>
      </c>
    </row>
    <row r="13" customFormat="false" ht="15" hidden="false" customHeight="false" outlineLevel="0" collapsed="false">
      <c r="A13" s="12" t="s">
        <v>267</v>
      </c>
      <c r="B13" s="12" t="s">
        <v>363</v>
      </c>
      <c r="C13" s="13" t="n">
        <v>7</v>
      </c>
      <c r="D13" s="25" t="n">
        <f aca="false">C13/SUM(C$5:C$19)</f>
        <v>0.0636363636363636</v>
      </c>
      <c r="E13" s="25" t="n">
        <f aca="false">E12+D13</f>
        <v>0.645454545454546</v>
      </c>
      <c r="F13" s="12" t="s">
        <v>375</v>
      </c>
    </row>
    <row r="14" customFormat="false" ht="15" hidden="false" customHeight="false" outlineLevel="0" collapsed="false">
      <c r="A14" s="12" t="s">
        <v>264</v>
      </c>
      <c r="B14" s="12" t="s">
        <v>365</v>
      </c>
      <c r="C14" s="13" t="n">
        <v>7</v>
      </c>
      <c r="D14" s="25" t="n">
        <f aca="false">C14/SUM(C$5:C$19)</f>
        <v>0.0636363636363636</v>
      </c>
      <c r="E14" s="25" t="n">
        <f aca="false">E13+D14</f>
        <v>0.709090909090909</v>
      </c>
      <c r="F14" s="12" t="s">
        <v>375</v>
      </c>
    </row>
    <row r="15" customFormat="false" ht="15" hidden="false" customHeight="false" outlineLevel="0" collapsed="false">
      <c r="A15" s="12" t="s">
        <v>260</v>
      </c>
      <c r="B15" s="12" t="s">
        <v>367</v>
      </c>
      <c r="C15" s="13" t="n">
        <v>7</v>
      </c>
      <c r="D15" s="25" t="n">
        <f aca="false">C15/SUM(C$5:C$19)</f>
        <v>0.0636363636363636</v>
      </c>
      <c r="E15" s="25" t="n">
        <f aca="false">E14+D15</f>
        <v>0.772727272727273</v>
      </c>
      <c r="F15" s="12" t="s">
        <v>375</v>
      </c>
    </row>
    <row r="16" customFormat="false" ht="15" hidden="false" customHeight="false" outlineLevel="0" collapsed="false">
      <c r="A16" s="12" t="s">
        <v>254</v>
      </c>
      <c r="B16" s="12" t="s">
        <v>255</v>
      </c>
      <c r="C16" s="13" t="n">
        <v>7</v>
      </c>
      <c r="D16" s="25" t="n">
        <f aca="false">C16/SUM(C$5:C$19)</f>
        <v>0.0636363636363636</v>
      </c>
      <c r="E16" s="25" t="n">
        <f aca="false">E15+D16</f>
        <v>0.836363636363636</v>
      </c>
      <c r="F16" s="12" t="s">
        <v>376</v>
      </c>
    </row>
    <row r="17" customFormat="false" ht="15" hidden="false" customHeight="false" outlineLevel="0" collapsed="false">
      <c r="A17" s="12" t="s">
        <v>296</v>
      </c>
      <c r="B17" s="12" t="s">
        <v>298</v>
      </c>
      <c r="C17" s="13" t="n">
        <v>5</v>
      </c>
      <c r="D17" s="25" t="n">
        <f aca="false">C17/SUM(C$5:C$19)</f>
        <v>0.0454545454545455</v>
      </c>
      <c r="E17" s="25" t="n">
        <f aca="false">E16+D17</f>
        <v>0.881818181818182</v>
      </c>
      <c r="F17" s="12" t="s">
        <v>377</v>
      </c>
    </row>
    <row r="18" customFormat="false" ht="15" hidden="false" customHeight="false" outlineLevel="0" collapsed="false">
      <c r="A18" s="12" t="s">
        <v>303</v>
      </c>
      <c r="B18" s="12" t="s">
        <v>40</v>
      </c>
      <c r="C18" s="13" t="n">
        <v>4</v>
      </c>
      <c r="D18" s="25" t="n">
        <f aca="false">C18/SUM(C$5:C$19)</f>
        <v>0.0363636363636364</v>
      </c>
      <c r="E18" s="25" t="n">
        <f aca="false">E17+D18</f>
        <v>0.918181818181818</v>
      </c>
      <c r="F18" s="12" t="s">
        <v>378</v>
      </c>
    </row>
    <row r="19" customFormat="false" ht="23.85" hidden="false" customHeight="false" outlineLevel="0" collapsed="false">
      <c r="A19" s="12" t="s">
        <v>308</v>
      </c>
      <c r="B19" s="12" t="s">
        <v>159</v>
      </c>
      <c r="C19" s="13" t="n">
        <v>9</v>
      </c>
      <c r="D19" s="25" t="n">
        <f aca="false">C19/SUM(C$5:C$19)</f>
        <v>0.0818181818181818</v>
      </c>
      <c r="E19" s="25" t="n">
        <f aca="false">E18+D19</f>
        <v>1</v>
      </c>
      <c r="F19" s="12" t="s">
        <v>379</v>
      </c>
    </row>
    <row r="20" customFormat="false" ht="15" hidden="false" customHeight="false" outlineLevel="0" collapsed="false">
      <c r="A20" s="26" t="s">
        <v>373</v>
      </c>
      <c r="B20" s="27"/>
      <c r="C20" s="28" t="n">
        <f aca="false">SUM(C5:C19)</f>
        <v>110</v>
      </c>
      <c r="D20" s="29" t="n">
        <f aca="false">SUM(D5:D19)</f>
        <v>1</v>
      </c>
      <c r="E20" s="27"/>
      <c r="F20" s="27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5" min="2" style="0" width="14"/>
    <col collapsed="false" customWidth="true" hidden="false" outlineLevel="0" max="7" min="6" style="0" width="22"/>
    <col collapsed="false" customWidth="true" hidden="false" outlineLevel="0" max="8" min="8" style="0" width="30"/>
  </cols>
  <sheetData>
    <row r="1" customFormat="false" ht="30" hidden="false" customHeight="true" outlineLevel="0" collapsed="false">
      <c r="A1" s="9" t="s">
        <v>380</v>
      </c>
      <c r="B1" s="9" t="s">
        <v>381</v>
      </c>
      <c r="C1" s="9" t="s">
        <v>382</v>
      </c>
      <c r="D1" s="9" t="s">
        <v>383</v>
      </c>
      <c r="E1" s="9" t="s">
        <v>384</v>
      </c>
      <c r="F1" s="9" t="s">
        <v>385</v>
      </c>
      <c r="G1" s="9" t="s">
        <v>386</v>
      </c>
      <c r="H1" s="9" t="s">
        <v>253</v>
      </c>
    </row>
    <row r="2" customFormat="false" ht="15" hidden="false" customHeight="false" outlineLevel="0" collapsed="false">
      <c r="A2" s="16" t="n">
        <v>1</v>
      </c>
      <c r="B2" s="23" t="b">
        <f aca="false">FALSE()</f>
        <v>0</v>
      </c>
      <c r="C2" s="30" t="n">
        <v>0</v>
      </c>
      <c r="D2" s="23" t="b">
        <f aca="false">TRUE()</f>
        <v>1</v>
      </c>
      <c r="E2" s="30" t="n">
        <v>0.03</v>
      </c>
      <c r="F2" s="31" t="n">
        <f aca="false">IF(B2,3*C2,0)</f>
        <v>0</v>
      </c>
      <c r="G2" s="31" t="n">
        <f aca="false">IF(D2,3*E2,0)</f>
        <v>0.09</v>
      </c>
      <c r="H2" s="12" t="s">
        <v>387</v>
      </c>
    </row>
    <row r="3" customFormat="false" ht="15" hidden="false" customHeight="false" outlineLevel="0" collapsed="false">
      <c r="A3" s="16" t="n">
        <v>2</v>
      </c>
      <c r="B3" s="23" t="b">
        <f aca="false">TRUE()</f>
        <v>1</v>
      </c>
      <c r="C3" s="30" t="n">
        <v>0.045</v>
      </c>
      <c r="D3" s="23" t="b">
        <f aca="false">TRUE()</f>
        <v>1</v>
      </c>
      <c r="E3" s="30" t="n">
        <v>0.05</v>
      </c>
      <c r="F3" s="31" t="n">
        <f aca="false">IF(B3,3*C3,0)</f>
        <v>0.135</v>
      </c>
      <c r="G3" s="31" t="n">
        <f aca="false">IF(D3,3*E3,0)</f>
        <v>0.15</v>
      </c>
      <c r="H3" s="12"/>
    </row>
    <row r="4" customFormat="false" ht="15" hidden="false" customHeight="false" outlineLevel="0" collapsed="false">
      <c r="A4" s="16" t="n">
        <v>3</v>
      </c>
      <c r="B4" s="23" t="b">
        <f aca="false">TRUE()</f>
        <v>1</v>
      </c>
      <c r="C4" s="30" t="n">
        <v>0.045</v>
      </c>
      <c r="D4" s="23" t="b">
        <f aca="false">TRUE()</f>
        <v>1</v>
      </c>
      <c r="E4" s="30" t="n">
        <v>0.07</v>
      </c>
      <c r="F4" s="31" t="n">
        <f aca="false">IF(B4,3*C4,0)</f>
        <v>0.135</v>
      </c>
      <c r="G4" s="31" t="n">
        <f aca="false">IF(D4,3*E4,0)</f>
        <v>0.21</v>
      </c>
      <c r="H4" s="12" t="s">
        <v>388</v>
      </c>
    </row>
    <row r="5" customFormat="false" ht="15" hidden="false" customHeight="false" outlineLevel="0" collapsed="false">
      <c r="A5" s="16" t="n">
        <v>4</v>
      </c>
      <c r="B5" s="23" t="b">
        <f aca="false">TRUE()</f>
        <v>1</v>
      </c>
      <c r="C5" s="30" t="n">
        <v>0.045</v>
      </c>
      <c r="D5" s="23" t="b">
        <f aca="false">TRUE()</f>
        <v>1</v>
      </c>
      <c r="E5" s="30" t="n">
        <v>0.05</v>
      </c>
      <c r="F5" s="31" t="n">
        <f aca="false">IF(B5,3*C5,0)</f>
        <v>0.135</v>
      </c>
      <c r="G5" s="31" t="n">
        <f aca="false">IF(D5,3*E5,0)</f>
        <v>0.15</v>
      </c>
      <c r="H5" s="12"/>
    </row>
    <row r="6" customFormat="false" ht="15" hidden="false" customHeight="false" outlineLevel="0" collapsed="false">
      <c r="A6" s="16" t="n">
        <v>5</v>
      </c>
      <c r="B6" s="23" t="b">
        <f aca="false">FALSE()</f>
        <v>0</v>
      </c>
      <c r="C6" s="30" t="n">
        <v>0</v>
      </c>
      <c r="D6" s="23" t="b">
        <f aca="false">TRUE()</f>
        <v>1</v>
      </c>
      <c r="E6" s="30" t="n">
        <v>0.03</v>
      </c>
      <c r="F6" s="31" t="n">
        <f aca="false">IF(B6,3*C6,0)</f>
        <v>0</v>
      </c>
      <c r="G6" s="31" t="n">
        <f aca="false">IF(D6,3*E6,0)</f>
        <v>0.09</v>
      </c>
      <c r="H6" s="12" t="s">
        <v>387</v>
      </c>
    </row>
    <row r="7" customFormat="false" ht="15" hidden="false" customHeight="false" outlineLevel="0" collapsed="false">
      <c r="A7" s="26" t="s">
        <v>389</v>
      </c>
      <c r="B7" s="27"/>
      <c r="C7" s="27"/>
      <c r="D7" s="27"/>
      <c r="E7" s="27"/>
      <c r="F7" s="32" t="n">
        <f aca="false">SUM(F2:F6)</f>
        <v>0.405</v>
      </c>
      <c r="G7" s="32" t="n">
        <f aca="false">SUM(G2:G6)</f>
        <v>0.69</v>
      </c>
      <c r="H7" s="27"/>
    </row>
    <row r="9" customFormat="false" ht="15" hidden="false" customHeight="false" outlineLevel="0" collapsed="false">
      <c r="A9" s="2" t="s">
        <v>390</v>
      </c>
      <c r="B9" s="2"/>
      <c r="C9" s="2"/>
      <c r="D9" s="2"/>
      <c r="E9" s="2"/>
      <c r="F9" s="2"/>
      <c r="G9" s="2"/>
      <c r="H9" s="2"/>
    </row>
  </sheetData>
  <mergeCells count="1">
    <mergeCell ref="A9:H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8"/>
    <col collapsed="false" customWidth="true" hidden="false" outlineLevel="0" max="5" min="4" style="0" width="20"/>
    <col collapsed="false" customWidth="true" hidden="false" outlineLevel="0" max="6" min="6" style="0" width="40"/>
  </cols>
  <sheetData>
    <row r="1" customFormat="false" ht="30" hidden="false" customHeight="true" outlineLevel="0" collapsed="false">
      <c r="A1" s="9" t="s">
        <v>391</v>
      </c>
      <c r="B1" s="9" t="s">
        <v>392</v>
      </c>
      <c r="C1" s="9" t="s">
        <v>393</v>
      </c>
      <c r="D1" s="9" t="s">
        <v>394</v>
      </c>
      <c r="E1" s="9" t="s">
        <v>395</v>
      </c>
      <c r="F1" s="9" t="s">
        <v>253</v>
      </c>
    </row>
    <row r="2" customFormat="false" ht="15" hidden="false" customHeight="false" outlineLevel="0" collapsed="false">
      <c r="A2" s="21" t="n">
        <v>1</v>
      </c>
      <c r="B2" s="33" t="n">
        <v>0.4</v>
      </c>
      <c r="C2" s="33" t="n">
        <v>0.25</v>
      </c>
      <c r="D2" s="34" t="n">
        <f aca="false">A2*B2</f>
        <v>0.4</v>
      </c>
      <c r="E2" s="34" t="n">
        <f aca="false">A2*C2</f>
        <v>0.25</v>
      </c>
      <c r="F2" s="21" t="s">
        <v>396</v>
      </c>
    </row>
    <row r="3" customFormat="false" ht="15" hidden="false" customHeight="false" outlineLevel="0" collapsed="false">
      <c r="A3" s="21" t="n">
        <v>2</v>
      </c>
      <c r="B3" s="33" t="n">
        <v>0.3</v>
      </c>
      <c r="C3" s="33" t="n">
        <v>0.3</v>
      </c>
      <c r="D3" s="34" t="n">
        <f aca="false">A3*B3</f>
        <v>0.6</v>
      </c>
      <c r="E3" s="34" t="n">
        <f aca="false">A3*C3</f>
        <v>0.6</v>
      </c>
      <c r="F3" s="21"/>
    </row>
    <row r="4" customFormat="false" ht="15" hidden="false" customHeight="false" outlineLevel="0" collapsed="false">
      <c r="A4" s="21" t="n">
        <v>3</v>
      </c>
      <c r="B4" s="33" t="n">
        <v>0.2</v>
      </c>
      <c r="C4" s="33" t="n">
        <v>0.25</v>
      </c>
      <c r="D4" s="34" t="n">
        <f aca="false">A4*B4</f>
        <v>0.6</v>
      </c>
      <c r="E4" s="34" t="n">
        <f aca="false">A4*C4</f>
        <v>0.75</v>
      </c>
      <c r="F4" s="21"/>
    </row>
    <row r="5" customFormat="false" ht="15" hidden="false" customHeight="false" outlineLevel="0" collapsed="false">
      <c r="A5" s="21" t="n">
        <v>4</v>
      </c>
      <c r="B5" s="33" t="n">
        <v>0.1</v>
      </c>
      <c r="C5" s="33" t="n">
        <v>0.2</v>
      </c>
      <c r="D5" s="34" t="n">
        <f aca="false">A5*B5</f>
        <v>0.4</v>
      </c>
      <c r="E5" s="34" t="n">
        <f aca="false">A5*C5</f>
        <v>0.8</v>
      </c>
      <c r="F5" s="21" t="s">
        <v>397</v>
      </c>
    </row>
    <row r="6" customFormat="false" ht="15" hidden="false" customHeight="false" outlineLevel="0" collapsed="false">
      <c r="A6" s="26" t="s">
        <v>373</v>
      </c>
      <c r="B6" s="29" t="n">
        <f aca="false">SUM(B2:B5)</f>
        <v>1</v>
      </c>
      <c r="C6" s="29" t="n">
        <f aca="false">SUM(C2:C5)</f>
        <v>1</v>
      </c>
      <c r="D6" s="32" t="n">
        <f aca="false">SUM(D2:D5)</f>
        <v>2</v>
      </c>
      <c r="E6" s="32" t="n">
        <f aca="false">SUM(E2:E5)</f>
        <v>2.4</v>
      </c>
      <c r="F6" s="35" t="s">
        <v>398</v>
      </c>
    </row>
    <row r="8" customFormat="false" ht="15" hidden="false" customHeight="false" outlineLevel="0" collapsed="false">
      <c r="A8" s="3" t="s">
        <v>399</v>
      </c>
    </row>
    <row r="9" customFormat="false" ht="15" hidden="false" customHeight="false" outlineLevel="0" collapsed="false">
      <c r="A9" s="21" t="s">
        <v>400</v>
      </c>
      <c r="B9" s="21" t="s">
        <v>401</v>
      </c>
      <c r="C9" s="21"/>
      <c r="D9" s="21"/>
      <c r="E9" s="21"/>
      <c r="F9" s="21"/>
    </row>
    <row r="10" customFormat="false" ht="15" hidden="false" customHeight="false" outlineLevel="0" collapsed="false">
      <c r="A10" s="21" t="s">
        <v>402</v>
      </c>
      <c r="B10" s="21" t="s">
        <v>403</v>
      </c>
      <c r="C10" s="21"/>
      <c r="D10" s="21"/>
      <c r="E10" s="21"/>
      <c r="F10" s="21"/>
    </row>
    <row r="11" customFormat="false" ht="15" hidden="false" customHeight="false" outlineLevel="0" collapsed="false">
      <c r="A11" s="21" t="s">
        <v>404</v>
      </c>
      <c r="B11" s="21" t="s">
        <v>405</v>
      </c>
      <c r="C11" s="21"/>
      <c r="D11" s="21"/>
      <c r="E11" s="21"/>
      <c r="F11" s="21"/>
    </row>
    <row r="12" customFormat="false" ht="15" hidden="false" customHeight="false" outlineLevel="0" collapsed="false">
      <c r="A12" s="21" t="s">
        <v>406</v>
      </c>
      <c r="B12" s="21" t="s">
        <v>407</v>
      </c>
      <c r="C12" s="21"/>
      <c r="D12" s="21"/>
      <c r="E12" s="21"/>
      <c r="F12" s="21"/>
    </row>
    <row r="13" customFormat="false" ht="15" hidden="false" customHeight="false" outlineLevel="0" collapsed="false">
      <c r="A13" s="21" t="s">
        <v>408</v>
      </c>
      <c r="B13" s="21" t="s">
        <v>409</v>
      </c>
      <c r="C13" s="21"/>
      <c r="D13" s="21"/>
      <c r="E13" s="21"/>
      <c r="F13" s="21"/>
    </row>
    <row r="14" customFormat="false" ht="15" hidden="false" customHeight="false" outlineLevel="0" collapsed="false">
      <c r="A14" s="21" t="s">
        <v>410</v>
      </c>
      <c r="B14" s="21" t="s">
        <v>411</v>
      </c>
      <c r="C14" s="21"/>
      <c r="D14" s="21"/>
      <c r="E14" s="21"/>
      <c r="F14" s="21"/>
    </row>
  </sheetData>
  <mergeCells count="6">
    <mergeCell ref="B9:F9"/>
    <mergeCell ref="B10:F10"/>
    <mergeCell ref="B11:F11"/>
    <mergeCell ref="B12:F12"/>
    <mergeCell ref="B13:F13"/>
    <mergeCell ref="B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16"/>
    <col collapsed="false" customWidth="true" hidden="false" outlineLevel="0" max="5" min="4" style="0" width="20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15" t="s">
        <v>412</v>
      </c>
      <c r="B1" s="15"/>
      <c r="C1" s="15"/>
      <c r="D1" s="15"/>
      <c r="E1" s="15"/>
      <c r="F1" s="15"/>
    </row>
    <row r="3" customFormat="false" ht="30" hidden="false" customHeight="true" outlineLevel="0" collapsed="false">
      <c r="A3" s="9" t="s">
        <v>413</v>
      </c>
      <c r="B3" s="9" t="s">
        <v>414</v>
      </c>
      <c r="C3" s="9" t="s">
        <v>415</v>
      </c>
      <c r="D3" s="9" t="s">
        <v>416</v>
      </c>
      <c r="E3" s="9" t="s">
        <v>417</v>
      </c>
      <c r="F3" s="9" t="s">
        <v>253</v>
      </c>
    </row>
    <row r="4" customFormat="false" ht="15" hidden="false" customHeight="false" outlineLevel="0" collapsed="false">
      <c r="A4" s="21" t="n">
        <v>0</v>
      </c>
      <c r="B4" s="36" t="n">
        <v>1</v>
      </c>
      <c r="C4" s="36" t="n">
        <v>2</v>
      </c>
      <c r="D4" s="37" t="n">
        <v>1</v>
      </c>
      <c r="E4" s="37" t="n">
        <v>2</v>
      </c>
      <c r="F4" s="21" t="s">
        <v>418</v>
      </c>
    </row>
    <row r="5" customFormat="false" ht="15" hidden="false" customHeight="false" outlineLevel="0" collapsed="false">
      <c r="A5" s="21" t="n">
        <v>1</v>
      </c>
      <c r="B5" s="36" t="n">
        <v>2</v>
      </c>
      <c r="C5" s="36" t="n">
        <v>4</v>
      </c>
      <c r="D5" s="37" t="n">
        <v>1.5</v>
      </c>
      <c r="E5" s="37" t="n">
        <v>3</v>
      </c>
      <c r="F5" s="21" t="s">
        <v>419</v>
      </c>
    </row>
    <row r="6" customFormat="false" ht="15" hidden="false" customHeight="false" outlineLevel="0" collapsed="false">
      <c r="A6" s="21" t="n">
        <v>2</v>
      </c>
      <c r="B6" s="36" t="n">
        <v>3</v>
      </c>
      <c r="C6" s="36" t="n">
        <v>6</v>
      </c>
      <c r="D6" s="37" t="n">
        <v>2</v>
      </c>
      <c r="E6" s="37" t="n">
        <v>4</v>
      </c>
      <c r="F6" s="21" t="s">
        <v>420</v>
      </c>
    </row>
    <row r="7" customFormat="false" ht="15" hidden="false" customHeight="false" outlineLevel="0" collapsed="false">
      <c r="A7" s="21" t="n">
        <v>3</v>
      </c>
      <c r="B7" s="36" t="n">
        <v>5</v>
      </c>
      <c r="C7" s="36" t="n">
        <v>10</v>
      </c>
      <c r="D7" s="37" t="n">
        <v>2.75</v>
      </c>
      <c r="E7" s="37" t="n">
        <v>5.5</v>
      </c>
      <c r="F7" s="21" t="s">
        <v>421</v>
      </c>
    </row>
    <row r="8" customFormat="false" ht="15" hidden="false" customHeight="false" outlineLevel="0" collapsed="false">
      <c r="A8" s="21" t="n">
        <v>4</v>
      </c>
      <c r="B8" s="36" t="n">
        <v>5</v>
      </c>
      <c r="C8" s="36" t="n">
        <v>10</v>
      </c>
      <c r="D8" s="37" t="n">
        <v>3.2</v>
      </c>
      <c r="E8" s="37" t="n">
        <v>6.4</v>
      </c>
      <c r="F8" s="21" t="s">
        <v>422</v>
      </c>
    </row>
    <row r="9" customFormat="false" ht="15" hidden="false" customHeight="false" outlineLevel="0" collapsed="false">
      <c r="A9" s="21" t="n">
        <v>5</v>
      </c>
      <c r="B9" s="36" t="n">
        <v>5</v>
      </c>
      <c r="C9" s="36" t="n">
        <v>10</v>
      </c>
      <c r="D9" s="21"/>
      <c r="E9" s="21"/>
      <c r="F9" s="21" t="s">
        <v>423</v>
      </c>
    </row>
    <row r="11" customFormat="false" ht="15" hidden="false" customHeight="false" outlineLevel="0" collapsed="false">
      <c r="A11" s="3" t="s">
        <v>424</v>
      </c>
    </row>
    <row r="12" customFormat="false" ht="15" hidden="false" customHeight="false" outlineLevel="0" collapsed="false">
      <c r="A12" s="21" t="s">
        <v>425</v>
      </c>
      <c r="B12" s="21" t="s">
        <v>426</v>
      </c>
      <c r="C12" s="21"/>
      <c r="D12" s="21"/>
      <c r="E12" s="21"/>
      <c r="F12" s="21"/>
    </row>
    <row r="13" customFormat="false" ht="15" hidden="false" customHeight="false" outlineLevel="0" collapsed="false">
      <c r="A13" s="21" t="s">
        <v>427</v>
      </c>
      <c r="B13" s="21" t="s">
        <v>428</v>
      </c>
      <c r="C13" s="21"/>
      <c r="D13" s="21"/>
      <c r="E13" s="21"/>
      <c r="F13" s="21"/>
    </row>
    <row r="14" customFormat="false" ht="15" hidden="false" customHeight="false" outlineLevel="0" collapsed="false">
      <c r="A14" s="21" t="s">
        <v>429</v>
      </c>
      <c r="B14" s="21" t="s">
        <v>430</v>
      </c>
      <c r="C14" s="21"/>
      <c r="D14" s="21"/>
      <c r="E14" s="21"/>
      <c r="F14" s="21"/>
    </row>
    <row r="15" customFormat="false" ht="15" hidden="false" customHeight="false" outlineLevel="0" collapsed="false">
      <c r="A15" s="21" t="s">
        <v>431</v>
      </c>
      <c r="B15" s="21" t="s">
        <v>432</v>
      </c>
      <c r="C15" s="21"/>
      <c r="D15" s="21"/>
      <c r="E15" s="21"/>
      <c r="F15" s="21"/>
    </row>
    <row r="16" customFormat="false" ht="15" hidden="false" customHeight="false" outlineLevel="0" collapsed="false">
      <c r="A16" s="21" t="s">
        <v>433</v>
      </c>
      <c r="B16" s="21" t="s">
        <v>434</v>
      </c>
      <c r="C16" s="21"/>
      <c r="D16" s="21"/>
      <c r="E16" s="21"/>
      <c r="F16" s="21"/>
    </row>
    <row r="17" customFormat="false" ht="15" hidden="false" customHeight="false" outlineLevel="0" collapsed="false">
      <c r="A17" s="21" t="s">
        <v>46</v>
      </c>
      <c r="B17" s="21" t="s">
        <v>435</v>
      </c>
      <c r="C17" s="21"/>
      <c r="D17" s="21"/>
      <c r="E17" s="21"/>
      <c r="F17" s="21"/>
    </row>
    <row r="20" customFormat="false" ht="15" hidden="false" customHeight="false" outlineLevel="0" collapsed="false">
      <c r="A20" s="3" t="s">
        <v>436</v>
      </c>
    </row>
    <row r="21" customFormat="false" ht="15" hidden="false" customHeight="false" outlineLevel="0" collapsed="false">
      <c r="A21" s="21" t="s">
        <v>437</v>
      </c>
      <c r="B21" s="21" t="s">
        <v>438</v>
      </c>
      <c r="C21" s="21"/>
      <c r="D21" s="21"/>
      <c r="E21" s="21"/>
      <c r="F21" s="21"/>
    </row>
    <row r="22" customFormat="false" ht="15" hidden="false" customHeight="false" outlineLevel="0" collapsed="false">
      <c r="A22" s="21" t="s">
        <v>439</v>
      </c>
      <c r="B22" s="21" t="s">
        <v>440</v>
      </c>
      <c r="C22" s="21"/>
      <c r="D22" s="21"/>
      <c r="E22" s="21"/>
      <c r="F22" s="21"/>
    </row>
    <row r="23" customFormat="false" ht="15" hidden="false" customHeight="false" outlineLevel="0" collapsed="false">
      <c r="A23" s="21" t="s">
        <v>441</v>
      </c>
      <c r="B23" s="21" t="s">
        <v>442</v>
      </c>
      <c r="C23" s="21"/>
      <c r="D23" s="21"/>
      <c r="E23" s="21"/>
      <c r="F23" s="21"/>
    </row>
  </sheetData>
  <mergeCells count="10">
    <mergeCell ref="A1:F1"/>
    <mergeCell ref="B12:F12"/>
    <mergeCell ref="B13:F13"/>
    <mergeCell ref="B14:F14"/>
    <mergeCell ref="B15:F15"/>
    <mergeCell ref="B16:F16"/>
    <mergeCell ref="B17:F17"/>
    <mergeCell ref="B21:F21"/>
    <mergeCell ref="B22:F22"/>
    <mergeCell ref="B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24"/>
    <col collapsed="false" customWidth="true" hidden="false" outlineLevel="0" max="5" min="4" style="0" width="22"/>
    <col collapsed="false" customWidth="true" hidden="false" outlineLevel="0" max="6" min="6" style="0" width="30"/>
  </cols>
  <sheetData>
    <row r="1" customFormat="false" ht="17.35" hidden="false" customHeight="false" outlineLevel="0" collapsed="false">
      <c r="A1" s="15" t="s">
        <v>443</v>
      </c>
      <c r="B1" s="15"/>
      <c r="C1" s="15"/>
      <c r="D1" s="15"/>
      <c r="E1" s="15"/>
      <c r="F1" s="15"/>
    </row>
    <row r="3" customFormat="false" ht="30" hidden="false" customHeight="true" outlineLevel="0" collapsed="false">
      <c r="A3" s="9" t="s">
        <v>444</v>
      </c>
      <c r="B3" s="9" t="s">
        <v>445</v>
      </c>
      <c r="C3" s="9" t="s">
        <v>446</v>
      </c>
      <c r="D3" s="9" t="s">
        <v>447</v>
      </c>
      <c r="E3" s="9" t="s">
        <v>448</v>
      </c>
      <c r="F3" s="9" t="s">
        <v>253</v>
      </c>
    </row>
    <row r="4" customFormat="false" ht="15" hidden="false" customHeight="false" outlineLevel="0" collapsed="false">
      <c r="A4" s="21" t="n">
        <v>3</v>
      </c>
      <c r="B4" s="38" t="n">
        <v>2</v>
      </c>
      <c r="C4" s="36" t="n">
        <v>10</v>
      </c>
      <c r="D4" s="39" t="n">
        <f aca="false">B4*10</f>
        <v>20</v>
      </c>
      <c r="E4" s="39" t="n">
        <f aca="false">B4*1000</f>
        <v>2000</v>
      </c>
      <c r="F4" s="21" t="s">
        <v>449</v>
      </c>
    </row>
    <row r="5" customFormat="false" ht="15" hidden="false" customHeight="false" outlineLevel="0" collapsed="false">
      <c r="A5" s="21" t="n">
        <v>4</v>
      </c>
      <c r="B5" s="38" t="n">
        <v>10</v>
      </c>
      <c r="C5" s="36" t="n">
        <v>10</v>
      </c>
      <c r="D5" s="39" t="n">
        <f aca="false">B5*10</f>
        <v>100</v>
      </c>
      <c r="E5" s="39" t="n">
        <f aca="false">B5*1000</f>
        <v>10000</v>
      </c>
      <c r="F5" s="21" t="s">
        <v>450</v>
      </c>
    </row>
    <row r="6" customFormat="false" ht="15" hidden="false" customHeight="false" outlineLevel="0" collapsed="false">
      <c r="A6" s="21" t="n">
        <v>5</v>
      </c>
      <c r="B6" s="38" t="n">
        <v>50</v>
      </c>
      <c r="C6" s="36" t="n">
        <v>10</v>
      </c>
      <c r="D6" s="39" t="n">
        <f aca="false">B6*10</f>
        <v>500</v>
      </c>
      <c r="E6" s="39" t="n">
        <f aca="false">B6*1000</f>
        <v>50000</v>
      </c>
      <c r="F6" s="21" t="s">
        <v>451</v>
      </c>
    </row>
    <row r="8" customFormat="false" ht="15" hidden="false" customHeight="false" outlineLevel="0" collapsed="false">
      <c r="A8" s="40" t="s">
        <v>452</v>
      </c>
      <c r="B8" s="40"/>
      <c r="C8" s="40"/>
      <c r="D8" s="40"/>
      <c r="E8" s="40"/>
      <c r="F8" s="40"/>
    </row>
    <row r="9" customFormat="false" ht="15" hidden="false" customHeight="false" outlineLevel="0" collapsed="false">
      <c r="A9" s="9" t="s">
        <v>444</v>
      </c>
      <c r="B9" s="9" t="s">
        <v>453</v>
      </c>
      <c r="C9" s="9" t="s">
        <v>253</v>
      </c>
    </row>
    <row r="10" customFormat="false" ht="15" hidden="false" customHeight="false" outlineLevel="0" collapsed="false">
      <c r="A10" s="21" t="n">
        <v>3</v>
      </c>
      <c r="B10" s="36" t="n">
        <v>5</v>
      </c>
      <c r="C10" s="21" t="s">
        <v>454</v>
      </c>
    </row>
    <row r="11" customFormat="false" ht="15" hidden="false" customHeight="false" outlineLevel="0" collapsed="false">
      <c r="A11" s="21" t="n">
        <v>4</v>
      </c>
      <c r="B11" s="36" t="n">
        <v>8</v>
      </c>
      <c r="C11" s="21"/>
    </row>
    <row r="12" customFormat="false" ht="15" hidden="false" customHeight="false" outlineLevel="0" collapsed="false">
      <c r="A12" s="21" t="n">
        <v>5</v>
      </c>
      <c r="B12" s="36" t="n">
        <v>10</v>
      </c>
      <c r="C12" s="21" t="s">
        <v>455</v>
      </c>
    </row>
    <row r="14" customFormat="false" ht="15" hidden="false" customHeight="false" outlineLevel="0" collapsed="false">
      <c r="A14" s="40" t="s">
        <v>456</v>
      </c>
      <c r="B14" s="40"/>
      <c r="C14" s="40"/>
      <c r="D14" s="40"/>
      <c r="E14" s="40"/>
      <c r="F14" s="40"/>
    </row>
    <row r="15" customFormat="false" ht="15" hidden="false" customHeight="false" outlineLevel="0" collapsed="false">
      <c r="A15" s="9" t="s">
        <v>457</v>
      </c>
      <c r="B15" s="9" t="s">
        <v>458</v>
      </c>
      <c r="C15" s="9" t="s">
        <v>164</v>
      </c>
      <c r="D15" s="9" t="s">
        <v>459</v>
      </c>
    </row>
    <row r="16" customFormat="false" ht="15" hidden="false" customHeight="false" outlineLevel="0" collapsed="false">
      <c r="A16" s="21" t="s">
        <v>460</v>
      </c>
      <c r="B16" s="21" t="s">
        <v>461</v>
      </c>
      <c r="C16" s="21" t="s">
        <v>462</v>
      </c>
      <c r="D16" s="41" t="s">
        <v>463</v>
      </c>
    </row>
    <row r="17" customFormat="false" ht="15" hidden="false" customHeight="false" outlineLevel="0" collapsed="false">
      <c r="A17" s="21" t="s">
        <v>464</v>
      </c>
      <c r="B17" s="21" t="s">
        <v>465</v>
      </c>
      <c r="C17" s="21" t="s">
        <v>466</v>
      </c>
      <c r="D17" s="41" t="s">
        <v>467</v>
      </c>
    </row>
    <row r="18" customFormat="false" ht="15" hidden="false" customHeight="false" outlineLevel="0" collapsed="false">
      <c r="A18" s="21" t="s">
        <v>468</v>
      </c>
      <c r="B18" s="21" t="s">
        <v>469</v>
      </c>
      <c r="C18" s="21" t="s">
        <v>470</v>
      </c>
      <c r="D18" s="41" t="s">
        <v>42</v>
      </c>
    </row>
    <row r="19" customFormat="false" ht="15" hidden="false" customHeight="false" outlineLevel="0" collapsed="false">
      <c r="A19" s="21" t="s">
        <v>471</v>
      </c>
      <c r="B19" s="21" t="s">
        <v>472</v>
      </c>
      <c r="C19" s="21" t="s">
        <v>473</v>
      </c>
      <c r="D19" s="41" t="s">
        <v>37</v>
      </c>
    </row>
    <row r="20" customFormat="false" ht="15" hidden="false" customHeight="false" outlineLevel="0" collapsed="false">
      <c r="A20" s="21" t="s">
        <v>474</v>
      </c>
      <c r="B20" s="21" t="s">
        <v>475</v>
      </c>
      <c r="C20" s="21" t="s">
        <v>476</v>
      </c>
      <c r="D20" s="41" t="s">
        <v>37</v>
      </c>
    </row>
    <row r="21" customFormat="false" ht="15" hidden="false" customHeight="false" outlineLevel="0" collapsed="false">
      <c r="A21" s="21" t="s">
        <v>477</v>
      </c>
      <c r="B21" s="21" t="s">
        <v>478</v>
      </c>
      <c r="C21" s="21" t="s">
        <v>479</v>
      </c>
      <c r="D21" s="41" t="s">
        <v>40</v>
      </c>
    </row>
  </sheetData>
  <mergeCells count="3">
    <mergeCell ref="A1:F1"/>
    <mergeCell ref="A8:F8"/>
    <mergeCell ref="A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30"/>
  </cols>
  <sheetData>
    <row r="1" customFormat="false" ht="17.35" hidden="false" customHeight="false" outlineLevel="0" collapsed="false">
      <c r="A1" s="15" t="s">
        <v>480</v>
      </c>
      <c r="B1" s="15"/>
      <c r="C1" s="15"/>
      <c r="D1" s="15"/>
      <c r="E1" s="15"/>
      <c r="F1" s="15"/>
      <c r="G1" s="15"/>
    </row>
    <row r="3" customFormat="false" ht="30" hidden="false" customHeight="true" outlineLevel="0" collapsed="false">
      <c r="A3" s="9" t="s">
        <v>481</v>
      </c>
      <c r="B3" s="9" t="s">
        <v>482</v>
      </c>
      <c r="C3" s="9" t="s">
        <v>483</v>
      </c>
      <c r="D3" s="9" t="s">
        <v>484</v>
      </c>
      <c r="E3" s="9" t="s">
        <v>485</v>
      </c>
      <c r="F3" s="9" t="s">
        <v>486</v>
      </c>
      <c r="G3" s="9" t="s">
        <v>253</v>
      </c>
    </row>
    <row r="4" customFormat="false" ht="15" hidden="false" customHeight="false" outlineLevel="0" collapsed="false">
      <c r="A4" s="21" t="s">
        <v>487</v>
      </c>
      <c r="B4" s="21" t="s">
        <v>488</v>
      </c>
      <c r="C4" s="33" t="n">
        <v>0.3</v>
      </c>
      <c r="D4" s="36" t="n">
        <v>4</v>
      </c>
      <c r="E4" s="41" t="s">
        <v>48</v>
      </c>
      <c r="F4" s="42" t="s">
        <v>489</v>
      </c>
      <c r="G4" s="21" t="s">
        <v>490</v>
      </c>
    </row>
    <row r="5" customFormat="false" ht="15" hidden="false" customHeight="false" outlineLevel="0" collapsed="false">
      <c r="A5" s="21" t="s">
        <v>491</v>
      </c>
      <c r="B5" s="21" t="s">
        <v>51</v>
      </c>
      <c r="C5" s="33" t="n">
        <v>0.25</v>
      </c>
      <c r="D5" s="36" t="n">
        <v>3</v>
      </c>
      <c r="E5" s="41" t="s">
        <v>51</v>
      </c>
      <c r="F5" s="42" t="s">
        <v>489</v>
      </c>
      <c r="G5" s="21" t="s">
        <v>492</v>
      </c>
    </row>
    <row r="6" customFormat="false" ht="15" hidden="false" customHeight="false" outlineLevel="0" collapsed="false">
      <c r="A6" s="21" t="s">
        <v>493</v>
      </c>
      <c r="B6" s="21" t="s">
        <v>53</v>
      </c>
      <c r="C6" s="33" t="n">
        <v>0.25</v>
      </c>
      <c r="D6" s="36" t="n">
        <v>3</v>
      </c>
      <c r="E6" s="41" t="s">
        <v>53</v>
      </c>
      <c r="F6" s="42" t="s">
        <v>489</v>
      </c>
      <c r="G6" s="21" t="s">
        <v>494</v>
      </c>
    </row>
    <row r="7" customFormat="false" ht="15" hidden="false" customHeight="false" outlineLevel="0" collapsed="false">
      <c r="A7" s="21" t="s">
        <v>495</v>
      </c>
      <c r="B7" s="21" t="s">
        <v>55</v>
      </c>
      <c r="C7" s="33" t="n">
        <v>0.2</v>
      </c>
      <c r="D7" s="36" t="n">
        <v>2</v>
      </c>
      <c r="E7" s="41" t="s">
        <v>55</v>
      </c>
      <c r="F7" s="42" t="s">
        <v>489</v>
      </c>
      <c r="G7" s="21" t="s">
        <v>496</v>
      </c>
    </row>
    <row r="8" customFormat="false" ht="15" hidden="false" customHeight="false" outlineLevel="0" collapsed="false">
      <c r="A8" s="26" t="s">
        <v>373</v>
      </c>
      <c r="B8" s="27"/>
      <c r="C8" s="29" t="n">
        <f aca="false">SUM(C4:C7)</f>
        <v>1</v>
      </c>
      <c r="D8" s="28" t="n">
        <f aca="false">SUM(D4:D7)</f>
        <v>12</v>
      </c>
      <c r="E8" s="27"/>
      <c r="F8" s="27"/>
      <c r="G8" s="35" t="s">
        <v>497</v>
      </c>
    </row>
    <row r="10" customFormat="false" ht="15" hidden="false" customHeight="false" outlineLevel="0" collapsed="false">
      <c r="A10" s="3" t="s">
        <v>498</v>
      </c>
    </row>
    <row r="11" customFormat="false" ht="23.85" hidden="false" customHeight="false" outlineLevel="0" collapsed="false">
      <c r="A11" s="9" t="s">
        <v>499</v>
      </c>
      <c r="B11" s="9" t="s">
        <v>500</v>
      </c>
      <c r="C11" s="9" t="s">
        <v>501</v>
      </c>
      <c r="D11" s="9" t="s">
        <v>253</v>
      </c>
    </row>
    <row r="12" customFormat="false" ht="15" hidden="false" customHeight="false" outlineLevel="0" collapsed="false">
      <c r="A12" s="21" t="s">
        <v>502</v>
      </c>
      <c r="B12" s="33" t="n">
        <v>0.005</v>
      </c>
      <c r="C12" s="39" t="n">
        <f aca="false">IF(B12&gt;0,1/B12,0)</f>
        <v>200</v>
      </c>
      <c r="D12" s="21" t="s">
        <v>503</v>
      </c>
    </row>
    <row r="13" customFormat="false" ht="15" hidden="false" customHeight="false" outlineLevel="0" collapsed="false">
      <c r="A13" s="21" t="s">
        <v>504</v>
      </c>
      <c r="B13" s="33" t="n">
        <v>0.01</v>
      </c>
      <c r="C13" s="39" t="n">
        <f aca="false">IF(B13&gt;0,1/B13,0)</f>
        <v>100</v>
      </c>
      <c r="D13" s="21" t="s">
        <v>505</v>
      </c>
    </row>
    <row r="14" customFormat="false" ht="15" hidden="false" customHeight="false" outlineLevel="0" collapsed="false">
      <c r="A14" s="21" t="s">
        <v>506</v>
      </c>
      <c r="B14" s="33" t="n">
        <v>1</v>
      </c>
      <c r="C14" s="39" t="n">
        <f aca="false">IF(B14&gt;0,1/B14,0)</f>
        <v>1</v>
      </c>
      <c r="D14" s="21" t="s">
        <v>507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5" min="2" style="0" width="14"/>
    <col collapsed="false" customWidth="true" hidden="false" outlineLevel="0" max="6" min="6" style="0" width="20"/>
    <col collapsed="false" customWidth="true" hidden="false" outlineLevel="0" max="7" min="7" style="0" width="18"/>
    <col collapsed="false" customWidth="true" hidden="false" outlineLevel="0" max="8" min="8" style="0" width="20"/>
  </cols>
  <sheetData>
    <row r="1" customFormat="false" ht="17.35" hidden="false" customHeight="false" outlineLevel="0" collapsed="false">
      <c r="A1" s="15" t="s">
        <v>508</v>
      </c>
      <c r="B1" s="15"/>
      <c r="C1" s="15"/>
      <c r="D1" s="15"/>
      <c r="E1" s="15"/>
      <c r="F1" s="15"/>
      <c r="G1" s="15"/>
      <c r="H1" s="15"/>
    </row>
    <row r="3" customFormat="false" ht="30" hidden="false" customHeight="true" outlineLevel="0" collapsed="false">
      <c r="A3" s="9" t="s">
        <v>246</v>
      </c>
      <c r="B3" s="9" t="s">
        <v>509</v>
      </c>
      <c r="C3" s="9" t="s">
        <v>510</v>
      </c>
      <c r="D3" s="9" t="s">
        <v>511</v>
      </c>
      <c r="E3" s="9" t="s">
        <v>512</v>
      </c>
      <c r="F3" s="9" t="s">
        <v>513</v>
      </c>
      <c r="G3" s="9" t="s">
        <v>514</v>
      </c>
      <c r="H3" s="9" t="s">
        <v>515</v>
      </c>
    </row>
    <row r="4" customFormat="false" ht="15" hidden="false" customHeight="false" outlineLevel="0" collapsed="false">
      <c r="A4" s="21" t="s">
        <v>516</v>
      </c>
      <c r="B4" s="36" t="n">
        <v>500</v>
      </c>
      <c r="C4" s="36" t="n">
        <v>1</v>
      </c>
      <c r="D4" s="36" t="n">
        <v>1</v>
      </c>
      <c r="E4" s="33" t="n">
        <v>0.05</v>
      </c>
      <c r="F4" s="37" t="n">
        <f aca="false">B4*E4</f>
        <v>25</v>
      </c>
      <c r="G4" s="39" t="n">
        <f aca="false">B4*C4*10</f>
        <v>5000</v>
      </c>
      <c r="H4" s="39" t="n">
        <f aca="false">B4*D4*1000</f>
        <v>500000</v>
      </c>
    </row>
    <row r="5" customFormat="false" ht="15" hidden="false" customHeight="false" outlineLevel="0" collapsed="false">
      <c r="A5" s="21" t="s">
        <v>517</v>
      </c>
      <c r="B5" s="36" t="n">
        <v>100</v>
      </c>
      <c r="C5" s="36" t="n">
        <v>1</v>
      </c>
      <c r="D5" s="36" t="n">
        <v>1</v>
      </c>
      <c r="E5" s="33" t="n">
        <v>0.15</v>
      </c>
      <c r="F5" s="37" t="n">
        <f aca="false">B5*E5</f>
        <v>15</v>
      </c>
      <c r="G5" s="39" t="n">
        <f aca="false">B5*C5*10</f>
        <v>1000</v>
      </c>
      <c r="H5" s="39" t="n">
        <f aca="false">B5*D5*1000</f>
        <v>100000</v>
      </c>
    </row>
    <row r="6" customFormat="false" ht="15" hidden="false" customHeight="false" outlineLevel="0" collapsed="false">
      <c r="A6" s="21" t="s">
        <v>518</v>
      </c>
      <c r="B6" s="36" t="n">
        <v>25</v>
      </c>
      <c r="C6" s="36" t="n">
        <v>1</v>
      </c>
      <c r="D6" s="36" t="n">
        <v>3</v>
      </c>
      <c r="E6" s="33" t="n">
        <v>0.3</v>
      </c>
      <c r="F6" s="37" t="n">
        <f aca="false">B6*E6</f>
        <v>7.5</v>
      </c>
      <c r="G6" s="39" t="n">
        <f aca="false">B6*C6*10</f>
        <v>250</v>
      </c>
      <c r="H6" s="39" t="n">
        <f aca="false">B6*D6*1000</f>
        <v>75000</v>
      </c>
    </row>
    <row r="7" customFormat="false" ht="15" hidden="false" customHeight="false" outlineLevel="0" collapsed="false">
      <c r="A7" s="21" t="s">
        <v>519</v>
      </c>
      <c r="B7" s="36" t="n">
        <v>10</v>
      </c>
      <c r="C7" s="36" t="n">
        <v>1</v>
      </c>
      <c r="D7" s="36" t="n">
        <v>3</v>
      </c>
      <c r="E7" s="33" t="n">
        <v>0.5</v>
      </c>
      <c r="F7" s="37" t="n">
        <f aca="false">B7*E7</f>
        <v>5</v>
      </c>
      <c r="G7" s="39" t="n">
        <f aca="false">B7*C7*10</f>
        <v>100</v>
      </c>
      <c r="H7" s="39" t="n">
        <f aca="false">B7*D7*1000</f>
        <v>30000</v>
      </c>
    </row>
    <row r="8" customFormat="false" ht="15" hidden="false" customHeight="false" outlineLevel="0" collapsed="false">
      <c r="A8" s="26" t="s">
        <v>373</v>
      </c>
      <c r="B8" s="27"/>
      <c r="C8" s="27"/>
      <c r="D8" s="27"/>
      <c r="E8" s="29" t="n">
        <f aca="false">SUM(E4:E7)</f>
        <v>1</v>
      </c>
      <c r="F8" s="43" t="n">
        <f aca="false">SUM(F4:F7)</f>
        <v>52.5</v>
      </c>
      <c r="G8" s="27"/>
      <c r="H8" s="27"/>
    </row>
    <row r="10" customFormat="false" ht="15" hidden="false" customHeight="false" outlineLevel="0" collapsed="false">
      <c r="A10" s="3" t="s">
        <v>520</v>
      </c>
    </row>
    <row r="11" customFormat="false" ht="15" hidden="false" customHeight="false" outlineLevel="0" collapsed="false">
      <c r="A11" s="44" t="s">
        <v>521</v>
      </c>
      <c r="B11" s="44"/>
      <c r="C11" s="44"/>
      <c r="D11" s="44"/>
      <c r="E11" s="44"/>
      <c r="F11" s="44"/>
      <c r="G11" s="44"/>
      <c r="H11" s="44"/>
    </row>
  </sheetData>
  <mergeCells count="2">
    <mergeCell ref="A1:H1"/>
    <mergeCell ref="A11:H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36"/>
  </cols>
  <sheetData>
    <row r="1" customFormat="false" ht="17.35" hidden="false" customHeight="false" outlineLevel="0" collapsed="false">
      <c r="A1" s="15" t="s">
        <v>522</v>
      </c>
      <c r="B1" s="15"/>
      <c r="C1" s="15"/>
      <c r="D1" s="15"/>
      <c r="E1" s="15"/>
      <c r="F1" s="15"/>
    </row>
    <row r="2" customFormat="false" ht="15" hidden="false" customHeight="false" outlineLevel="0" collapsed="false">
      <c r="A2" s="2" t="s">
        <v>523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9" t="s">
        <v>524</v>
      </c>
      <c r="B4" s="9" t="s">
        <v>525</v>
      </c>
      <c r="C4" s="9" t="s">
        <v>514</v>
      </c>
      <c r="D4" s="9" t="s">
        <v>515</v>
      </c>
      <c r="E4" s="9" t="s">
        <v>526</v>
      </c>
      <c r="F4" s="9" t="s">
        <v>253</v>
      </c>
    </row>
    <row r="5" customFormat="false" ht="15" hidden="false" customHeight="false" outlineLevel="0" collapsed="false">
      <c r="A5" s="21" t="n">
        <v>1</v>
      </c>
      <c r="B5" s="38" t="n">
        <v>1</v>
      </c>
      <c r="C5" s="39" t="n">
        <f aca="false">B5*10</f>
        <v>10</v>
      </c>
      <c r="D5" s="39" t="n">
        <f aca="false">B5*1000</f>
        <v>1000</v>
      </c>
      <c r="E5" s="45" t="b">
        <f aca="false">FALSE()</f>
        <v>0</v>
      </c>
      <c r="F5" s="21" t="s">
        <v>527</v>
      </c>
    </row>
    <row r="6" customFormat="false" ht="15" hidden="false" customHeight="false" outlineLevel="0" collapsed="false">
      <c r="A6" s="21" t="n">
        <v>2</v>
      </c>
      <c r="B6" s="38" t="n">
        <v>2</v>
      </c>
      <c r="C6" s="39" t="n">
        <f aca="false">B6*10</f>
        <v>20</v>
      </c>
      <c r="D6" s="39" t="n">
        <f aca="false">B6*1000</f>
        <v>2000</v>
      </c>
      <c r="E6" s="45" t="b">
        <f aca="false">FALSE()</f>
        <v>0</v>
      </c>
      <c r="F6" s="21" t="s">
        <v>528</v>
      </c>
    </row>
    <row r="7" customFormat="false" ht="15" hidden="false" customHeight="false" outlineLevel="0" collapsed="false">
      <c r="A7" s="21" t="n">
        <v>3</v>
      </c>
      <c r="B7" s="38" t="n">
        <v>3</v>
      </c>
      <c r="C7" s="39" t="n">
        <f aca="false">B7*10</f>
        <v>30</v>
      </c>
      <c r="D7" s="39" t="n">
        <f aca="false">B7*1000</f>
        <v>3000</v>
      </c>
      <c r="E7" s="45" t="b">
        <f aca="false">FALSE()</f>
        <v>0</v>
      </c>
      <c r="F7" s="21" t="s">
        <v>529</v>
      </c>
    </row>
    <row r="8" customFormat="false" ht="15" hidden="false" customHeight="false" outlineLevel="0" collapsed="false">
      <c r="A8" s="21" t="n">
        <v>4</v>
      </c>
      <c r="B8" s="38" t="n">
        <v>5</v>
      </c>
      <c r="C8" s="39" t="n">
        <f aca="false">B8*10</f>
        <v>50</v>
      </c>
      <c r="D8" s="39" t="n">
        <f aca="false">B8*1000</f>
        <v>5000</v>
      </c>
      <c r="E8" s="45" t="b">
        <f aca="false">FALSE()</f>
        <v>0</v>
      </c>
      <c r="F8" s="21" t="s">
        <v>528</v>
      </c>
    </row>
    <row r="9" customFormat="false" ht="15" hidden="false" customHeight="false" outlineLevel="0" collapsed="false">
      <c r="A9" s="21" t="n">
        <v>5</v>
      </c>
      <c r="B9" s="38" t="n">
        <v>7</v>
      </c>
      <c r="C9" s="39" t="n">
        <f aca="false">B9*10</f>
        <v>70</v>
      </c>
      <c r="D9" s="39" t="n">
        <f aca="false">B9*1000</f>
        <v>7000</v>
      </c>
      <c r="E9" s="45" t="b">
        <f aca="false">FALSE()</f>
        <v>0</v>
      </c>
      <c r="F9" s="21" t="s">
        <v>528</v>
      </c>
    </row>
    <row r="10" customFormat="false" ht="15" hidden="false" customHeight="false" outlineLevel="0" collapsed="false">
      <c r="A10" s="21" t="n">
        <v>6</v>
      </c>
      <c r="B10" s="38" t="n">
        <v>10</v>
      </c>
      <c r="C10" s="39" t="n">
        <f aca="false">B10*10</f>
        <v>100</v>
      </c>
      <c r="D10" s="39" t="n">
        <f aca="false">B10*1000</f>
        <v>10000</v>
      </c>
      <c r="E10" s="45" t="b">
        <f aca="false">FALSE()</f>
        <v>0</v>
      </c>
      <c r="F10" s="21" t="s">
        <v>530</v>
      </c>
    </row>
    <row r="11" customFormat="false" ht="15" hidden="false" customHeight="false" outlineLevel="0" collapsed="false">
      <c r="A11" s="21" t="n">
        <v>7</v>
      </c>
      <c r="B11" s="38" t="n">
        <v>15</v>
      </c>
      <c r="C11" s="39" t="n">
        <f aca="false">B11*10</f>
        <v>150</v>
      </c>
      <c r="D11" s="39" t="n">
        <f aca="false">B11*1000</f>
        <v>15000</v>
      </c>
      <c r="E11" s="45" t="b">
        <f aca="false">FALSE()</f>
        <v>0</v>
      </c>
      <c r="F11" s="21" t="s">
        <v>528</v>
      </c>
    </row>
    <row r="12" customFormat="false" ht="15" hidden="false" customHeight="false" outlineLevel="0" collapsed="false">
      <c r="A12" s="21" t="n">
        <v>8</v>
      </c>
      <c r="B12" s="38" t="n">
        <v>22</v>
      </c>
      <c r="C12" s="39" t="n">
        <f aca="false">B12*10</f>
        <v>220</v>
      </c>
      <c r="D12" s="39" t="n">
        <f aca="false">B12*1000</f>
        <v>22000</v>
      </c>
      <c r="E12" s="45" t="b">
        <f aca="false">FALSE()</f>
        <v>0</v>
      </c>
      <c r="F12" s="21" t="s">
        <v>528</v>
      </c>
    </row>
    <row r="13" customFormat="false" ht="15" hidden="false" customHeight="false" outlineLevel="0" collapsed="false">
      <c r="A13" s="21" t="n">
        <v>9</v>
      </c>
      <c r="B13" s="38" t="n">
        <v>35</v>
      </c>
      <c r="C13" s="39" t="n">
        <f aca="false">B13*10</f>
        <v>350</v>
      </c>
      <c r="D13" s="39" t="n">
        <f aca="false">B13*1000</f>
        <v>35000</v>
      </c>
      <c r="E13" s="45" t="b">
        <f aca="false">FALSE()</f>
        <v>0</v>
      </c>
      <c r="F13" s="21" t="s">
        <v>528</v>
      </c>
    </row>
    <row r="14" customFormat="false" ht="15" hidden="false" customHeight="false" outlineLevel="0" collapsed="false">
      <c r="A14" s="21" t="n">
        <v>10</v>
      </c>
      <c r="B14" s="38" t="n">
        <v>50</v>
      </c>
      <c r="C14" s="39" t="n">
        <f aca="false">B14*10</f>
        <v>500</v>
      </c>
      <c r="D14" s="39" t="n">
        <f aca="false">B14*1000</f>
        <v>50000</v>
      </c>
      <c r="E14" s="45" t="b">
        <f aca="false">FALSE()</f>
        <v>0</v>
      </c>
      <c r="F14" s="21" t="s">
        <v>531</v>
      </c>
    </row>
    <row r="15" customFormat="false" ht="15" hidden="false" customHeight="false" outlineLevel="0" collapsed="false">
      <c r="A15" s="21" t="n">
        <v>11</v>
      </c>
      <c r="B15" s="38" t="n">
        <v>80</v>
      </c>
      <c r="C15" s="39" t="n">
        <f aca="false">B15*10</f>
        <v>800</v>
      </c>
      <c r="D15" s="39" t="n">
        <f aca="false">B15*1000</f>
        <v>80000</v>
      </c>
      <c r="E15" s="45" t="b">
        <f aca="false">FALSE()</f>
        <v>0</v>
      </c>
      <c r="F15" s="21" t="s">
        <v>528</v>
      </c>
    </row>
    <row r="16" customFormat="false" ht="15" hidden="false" customHeight="false" outlineLevel="0" collapsed="false">
      <c r="A16" s="21" t="n">
        <v>12</v>
      </c>
      <c r="B16" s="38" t="n">
        <v>140</v>
      </c>
      <c r="C16" s="39" t="n">
        <f aca="false">B16*10</f>
        <v>1400</v>
      </c>
      <c r="D16" s="39" t="n">
        <f aca="false">B16*1000</f>
        <v>140000</v>
      </c>
      <c r="E16" s="45" t="b">
        <f aca="false">FALSE()</f>
        <v>0</v>
      </c>
      <c r="F16" s="21" t="s">
        <v>528</v>
      </c>
    </row>
    <row r="17" customFormat="false" ht="15" hidden="false" customHeight="false" outlineLevel="0" collapsed="false">
      <c r="A17" s="21" t="n">
        <v>13</v>
      </c>
      <c r="B17" s="38" t="n">
        <v>220</v>
      </c>
      <c r="C17" s="39" t="n">
        <f aca="false">B17*10</f>
        <v>2200</v>
      </c>
      <c r="D17" s="39" t="n">
        <f aca="false">B17*1000</f>
        <v>220000</v>
      </c>
      <c r="E17" s="45" t="b">
        <f aca="false">FALSE()</f>
        <v>0</v>
      </c>
      <c r="F17" s="21" t="s">
        <v>528</v>
      </c>
    </row>
    <row r="18" customFormat="false" ht="15" hidden="false" customHeight="false" outlineLevel="0" collapsed="false">
      <c r="A18" s="21" t="n">
        <v>14</v>
      </c>
      <c r="B18" s="38" t="n">
        <v>350</v>
      </c>
      <c r="C18" s="39" t="n">
        <f aca="false">B18*10</f>
        <v>3500</v>
      </c>
      <c r="D18" s="39" t="n">
        <f aca="false">B18*1000</f>
        <v>350000</v>
      </c>
      <c r="E18" s="45" t="b">
        <f aca="false">FALSE()</f>
        <v>0</v>
      </c>
      <c r="F18" s="21" t="s">
        <v>528</v>
      </c>
    </row>
    <row r="19" customFormat="false" ht="15" hidden="false" customHeight="false" outlineLevel="0" collapsed="false">
      <c r="A19" s="21" t="n">
        <v>15</v>
      </c>
      <c r="B19" s="38" t="n">
        <v>500</v>
      </c>
      <c r="C19" s="39" t="n">
        <f aca="false">B19*10</f>
        <v>5000</v>
      </c>
      <c r="D19" s="39" t="n">
        <f aca="false">B19*1000</f>
        <v>500000</v>
      </c>
      <c r="E19" s="45" t="b">
        <f aca="false">TRUE()</f>
        <v>1</v>
      </c>
      <c r="F19" s="21" t="s">
        <v>532</v>
      </c>
    </row>
    <row r="21" customFormat="false" ht="15" hidden="false" customHeight="false" outlineLevel="0" collapsed="false">
      <c r="A21" s="3" t="s">
        <v>533</v>
      </c>
      <c r="B21" s="46" t="n">
        <v>10</v>
      </c>
      <c r="C21" s="47" t="n">
        <f aca="false">B21*10</f>
        <v>100</v>
      </c>
      <c r="D21" s="47" t="n">
        <f aca="false">B21*1000</f>
        <v>10000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24"/>
    <col collapsed="false" customWidth="true" hidden="false" outlineLevel="0" max="5" min="5" style="0" width="18"/>
    <col collapsed="false" customWidth="true" hidden="false" outlineLevel="0" max="6" min="6" style="0" width="36"/>
  </cols>
  <sheetData>
    <row r="1" customFormat="false" ht="17.35" hidden="false" customHeight="false" outlineLevel="0" collapsed="false">
      <c r="A1" s="15" t="s">
        <v>534</v>
      </c>
      <c r="B1" s="15"/>
      <c r="C1" s="15"/>
      <c r="D1" s="15"/>
      <c r="E1" s="15"/>
      <c r="F1" s="15"/>
    </row>
    <row r="2" customFormat="false" ht="15" hidden="false" customHeight="false" outlineLevel="0" collapsed="false">
      <c r="A2" s="2" t="s">
        <v>535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9" t="s">
        <v>536</v>
      </c>
      <c r="B4" s="9" t="s">
        <v>246</v>
      </c>
      <c r="C4" s="9" t="s">
        <v>537</v>
      </c>
      <c r="D4" s="9" t="s">
        <v>538</v>
      </c>
      <c r="E4" s="9" t="s">
        <v>539</v>
      </c>
      <c r="F4" s="9" t="s">
        <v>253</v>
      </c>
    </row>
    <row r="5" customFormat="false" ht="15" hidden="false" customHeight="false" outlineLevel="0" collapsed="false">
      <c r="A5" s="21" t="s">
        <v>540</v>
      </c>
      <c r="B5" s="36" t="n">
        <v>0</v>
      </c>
      <c r="C5" s="21" t="s">
        <v>300</v>
      </c>
      <c r="D5" s="48" t="n">
        <v>0</v>
      </c>
      <c r="E5" s="36" t="n">
        <v>0</v>
      </c>
      <c r="F5" s="21" t="s">
        <v>541</v>
      </c>
    </row>
    <row r="6" customFormat="false" ht="15" hidden="false" customHeight="false" outlineLevel="0" collapsed="false">
      <c r="A6" s="21" t="s">
        <v>542</v>
      </c>
      <c r="B6" s="36" t="n">
        <v>1</v>
      </c>
      <c r="C6" s="21" t="s">
        <v>540</v>
      </c>
      <c r="D6" s="48" t="n">
        <v>1</v>
      </c>
      <c r="E6" s="36" t="n">
        <v>1</v>
      </c>
      <c r="F6" s="21" t="s">
        <v>543</v>
      </c>
    </row>
    <row r="7" customFormat="false" ht="15" hidden="false" customHeight="false" outlineLevel="0" collapsed="false">
      <c r="A7" s="21" t="s">
        <v>544</v>
      </c>
      <c r="B7" s="36" t="n">
        <v>2</v>
      </c>
      <c r="C7" s="21" t="s">
        <v>542</v>
      </c>
      <c r="D7" s="48" t="n">
        <v>3</v>
      </c>
      <c r="E7" s="36" t="n">
        <v>2</v>
      </c>
      <c r="F7" s="21" t="s">
        <v>545</v>
      </c>
    </row>
    <row r="8" customFormat="false" ht="15" hidden="false" customHeight="false" outlineLevel="0" collapsed="false">
      <c r="A8" s="21" t="s">
        <v>546</v>
      </c>
      <c r="B8" s="36" t="n">
        <v>3</v>
      </c>
      <c r="C8" s="21" t="s">
        <v>544</v>
      </c>
      <c r="D8" s="48" t="n">
        <v>8</v>
      </c>
      <c r="E8" s="36" t="n">
        <v>3</v>
      </c>
      <c r="F8" s="21" t="s">
        <v>547</v>
      </c>
    </row>
    <row r="9" customFormat="false" ht="15" hidden="false" customHeight="false" outlineLevel="0" collapsed="false">
      <c r="A9" s="21" t="s">
        <v>548</v>
      </c>
      <c r="B9" s="36" t="n">
        <v>4</v>
      </c>
      <c r="C9" s="21" t="s">
        <v>546</v>
      </c>
      <c r="D9" s="48" t="n">
        <v>25</v>
      </c>
      <c r="E9" s="36" t="n">
        <v>4</v>
      </c>
      <c r="F9" s="21" t="s">
        <v>549</v>
      </c>
    </row>
    <row r="11" customFormat="false" ht="15" hidden="false" customHeight="false" outlineLevel="0" collapsed="false">
      <c r="A11" s="26" t="s">
        <v>550</v>
      </c>
      <c r="B11" s="27"/>
      <c r="C11" s="27"/>
      <c r="D11" s="49" t="n">
        <f aca="false">15*D9</f>
        <v>375</v>
      </c>
      <c r="E11" s="27"/>
      <c r="F11" s="35" t="s">
        <v>551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32"/>
  </cols>
  <sheetData>
    <row r="1" customFormat="false" ht="17.35" hidden="false" customHeight="false" outlineLevel="0" collapsed="false">
      <c r="A1" s="15" t="s">
        <v>552</v>
      </c>
      <c r="B1" s="15"/>
      <c r="C1" s="15"/>
      <c r="D1" s="15"/>
      <c r="E1" s="15"/>
      <c r="F1" s="15"/>
    </row>
    <row r="2" customFormat="false" ht="15" hidden="false" customHeight="false" outlineLevel="0" collapsed="false">
      <c r="A2" s="2" t="s">
        <v>553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9" t="s">
        <v>554</v>
      </c>
      <c r="B4" s="9" t="s">
        <v>555</v>
      </c>
      <c r="C4" s="9" t="s">
        <v>359</v>
      </c>
      <c r="D4" s="9" t="s">
        <v>556</v>
      </c>
      <c r="E4" s="9" t="s">
        <v>557</v>
      </c>
      <c r="F4" s="9" t="s">
        <v>253</v>
      </c>
    </row>
    <row r="5" customFormat="false" ht="15" hidden="false" customHeight="false" outlineLevel="0" collapsed="false">
      <c r="A5" s="21" t="n">
        <v>4</v>
      </c>
      <c r="B5" s="33" t="n">
        <v>0.167</v>
      </c>
      <c r="C5" s="50" t="n">
        <f aca="false">B5</f>
        <v>0.167</v>
      </c>
      <c r="D5" s="36" t="n">
        <v>1</v>
      </c>
      <c r="E5" s="21" t="s">
        <v>527</v>
      </c>
      <c r="F5" s="21" t="s">
        <v>558</v>
      </c>
    </row>
    <row r="6" customFormat="false" ht="15" hidden="false" customHeight="false" outlineLevel="0" collapsed="false">
      <c r="A6" s="21" t="n">
        <v>5</v>
      </c>
      <c r="B6" s="33" t="n">
        <v>0.145</v>
      </c>
      <c r="C6" s="50" t="n">
        <f aca="false">C5+B6</f>
        <v>0.312</v>
      </c>
      <c r="D6" s="36" t="n">
        <v>1</v>
      </c>
      <c r="E6" s="21" t="s">
        <v>527</v>
      </c>
      <c r="F6" s="21"/>
    </row>
    <row r="7" customFormat="false" ht="15" hidden="false" customHeight="false" outlineLevel="0" collapsed="false">
      <c r="A7" s="21" t="n">
        <v>6</v>
      </c>
      <c r="B7" s="33" t="n">
        <v>0.12</v>
      </c>
      <c r="C7" s="50" t="n">
        <f aca="false">C6+B7</f>
        <v>0.432</v>
      </c>
      <c r="D7" s="36" t="n">
        <v>2</v>
      </c>
      <c r="E7" s="21" t="s">
        <v>273</v>
      </c>
      <c r="F7" s="21"/>
    </row>
    <row r="8" customFormat="false" ht="15" hidden="false" customHeight="false" outlineLevel="0" collapsed="false">
      <c r="A8" s="21" t="n">
        <v>7</v>
      </c>
      <c r="B8" s="33" t="n">
        <v>0.105</v>
      </c>
      <c r="C8" s="50" t="n">
        <f aca="false">C7+B8</f>
        <v>0.537</v>
      </c>
      <c r="D8" s="36" t="n">
        <v>2</v>
      </c>
      <c r="E8" s="21" t="s">
        <v>273</v>
      </c>
      <c r="F8" s="21"/>
    </row>
    <row r="9" customFormat="false" ht="15" hidden="false" customHeight="false" outlineLevel="0" collapsed="false">
      <c r="A9" s="21" t="n">
        <v>8</v>
      </c>
      <c r="B9" s="33" t="n">
        <v>0.09</v>
      </c>
      <c r="C9" s="50" t="n">
        <f aca="false">C8+B9</f>
        <v>0.627</v>
      </c>
      <c r="D9" s="36" t="n">
        <v>2</v>
      </c>
      <c r="E9" s="21" t="s">
        <v>559</v>
      </c>
      <c r="F9" s="21"/>
    </row>
    <row r="10" customFormat="false" ht="15" hidden="false" customHeight="false" outlineLevel="0" collapsed="false">
      <c r="A10" s="21" t="n">
        <v>9</v>
      </c>
      <c r="B10" s="33" t="n">
        <v>0.08</v>
      </c>
      <c r="C10" s="50" t="n">
        <f aca="false">C9+B10</f>
        <v>0.707</v>
      </c>
      <c r="D10" s="36" t="n">
        <v>3</v>
      </c>
      <c r="E10" s="21" t="s">
        <v>559</v>
      </c>
      <c r="F10" s="21"/>
    </row>
    <row r="11" customFormat="false" ht="15" hidden="false" customHeight="false" outlineLevel="0" collapsed="false">
      <c r="A11" s="21" t="n">
        <v>10</v>
      </c>
      <c r="B11" s="33" t="n">
        <v>0.07</v>
      </c>
      <c r="C11" s="50" t="n">
        <f aca="false">C10+B11</f>
        <v>0.777</v>
      </c>
      <c r="D11" s="36" t="n">
        <v>3</v>
      </c>
      <c r="E11" s="21" t="s">
        <v>559</v>
      </c>
      <c r="F11" s="21"/>
    </row>
    <row r="12" customFormat="false" ht="15" hidden="false" customHeight="false" outlineLevel="0" collapsed="false">
      <c r="A12" s="21" t="n">
        <v>11</v>
      </c>
      <c r="B12" s="33" t="n">
        <v>0.06</v>
      </c>
      <c r="C12" s="50" t="n">
        <f aca="false">C11+B12</f>
        <v>0.837</v>
      </c>
      <c r="D12" s="36" t="n">
        <v>3</v>
      </c>
      <c r="E12" s="21" t="s">
        <v>262</v>
      </c>
      <c r="F12" s="21"/>
    </row>
    <row r="13" customFormat="false" ht="15" hidden="false" customHeight="false" outlineLevel="0" collapsed="false">
      <c r="A13" s="21" t="n">
        <v>12</v>
      </c>
      <c r="B13" s="33" t="n">
        <v>0.05</v>
      </c>
      <c r="C13" s="50" t="n">
        <f aca="false">C12+B13</f>
        <v>0.887</v>
      </c>
      <c r="D13" s="36" t="n">
        <v>4</v>
      </c>
      <c r="E13" s="21" t="s">
        <v>262</v>
      </c>
      <c r="F13" s="21"/>
    </row>
    <row r="14" customFormat="false" ht="15" hidden="false" customHeight="false" outlineLevel="0" collapsed="false">
      <c r="A14" s="21" t="n">
        <v>13</v>
      </c>
      <c r="B14" s="33" t="n">
        <v>0.04</v>
      </c>
      <c r="C14" s="50" t="n">
        <f aca="false">C13+B14</f>
        <v>0.927</v>
      </c>
      <c r="D14" s="36" t="n">
        <v>4</v>
      </c>
      <c r="E14" s="21" t="s">
        <v>262</v>
      </c>
      <c r="F14" s="21"/>
    </row>
    <row r="15" customFormat="false" ht="15" hidden="false" customHeight="false" outlineLevel="0" collapsed="false">
      <c r="A15" s="21" t="n">
        <v>14</v>
      </c>
      <c r="B15" s="33" t="n">
        <v>0.03</v>
      </c>
      <c r="C15" s="50" t="n">
        <f aca="false">C14+B15</f>
        <v>0.957</v>
      </c>
      <c r="D15" s="36" t="n">
        <v>5</v>
      </c>
      <c r="E15" s="21" t="s">
        <v>91</v>
      </c>
      <c r="F15" s="21"/>
    </row>
    <row r="16" customFormat="false" ht="15" hidden="false" customHeight="false" outlineLevel="0" collapsed="false">
      <c r="A16" s="21" t="n">
        <v>15</v>
      </c>
      <c r="B16" s="33" t="n">
        <v>0.043</v>
      </c>
      <c r="C16" s="50" t="n">
        <f aca="false">C15+B16</f>
        <v>1</v>
      </c>
      <c r="D16" s="36" t="n">
        <v>5</v>
      </c>
      <c r="E16" s="21" t="s">
        <v>91</v>
      </c>
      <c r="F16" s="21" t="s">
        <v>560</v>
      </c>
    </row>
    <row r="17" customFormat="false" ht="15" hidden="false" customHeight="false" outlineLevel="0" collapsed="false">
      <c r="A17" s="26" t="s">
        <v>373</v>
      </c>
      <c r="B17" s="29" t="n">
        <f aca="false">SUM(B5:B16)</f>
        <v>1</v>
      </c>
      <c r="C17" s="27"/>
      <c r="D17" s="27"/>
      <c r="E17" s="27"/>
      <c r="F17" s="35" t="s">
        <v>561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6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15" t="s">
        <v>562</v>
      </c>
      <c r="B1" s="15"/>
      <c r="C1" s="15"/>
      <c r="D1" s="15"/>
      <c r="E1" s="15"/>
      <c r="F1" s="15"/>
    </row>
    <row r="3" customFormat="false" ht="30" hidden="false" customHeight="true" outlineLevel="0" collapsed="false">
      <c r="A3" s="9" t="s">
        <v>38</v>
      </c>
      <c r="B3" s="9" t="s">
        <v>563</v>
      </c>
      <c r="C3" s="9" t="s">
        <v>564</v>
      </c>
      <c r="D3" s="9" t="s">
        <v>565</v>
      </c>
      <c r="E3" s="9" t="s">
        <v>566</v>
      </c>
      <c r="F3" s="9" t="s">
        <v>253</v>
      </c>
    </row>
    <row r="4" customFormat="false" ht="15" hidden="false" customHeight="false" outlineLevel="0" collapsed="false">
      <c r="A4" s="21" t="s">
        <v>567</v>
      </c>
      <c r="B4" s="36" t="n">
        <v>75</v>
      </c>
      <c r="C4" s="39" t="n">
        <f aca="false">B4*10</f>
        <v>750</v>
      </c>
      <c r="D4" s="39" t="n">
        <f aca="false">B4*1000</f>
        <v>75000</v>
      </c>
      <c r="E4" s="45" t="b">
        <f aca="false">TRUE()</f>
        <v>1</v>
      </c>
      <c r="F4" s="21" t="s">
        <v>568</v>
      </c>
    </row>
    <row r="5" customFormat="false" ht="15" hidden="false" customHeight="false" outlineLevel="0" collapsed="false">
      <c r="A5" s="21" t="s">
        <v>506</v>
      </c>
      <c r="B5" s="36" t="n">
        <v>50</v>
      </c>
      <c r="C5" s="39" t="n">
        <f aca="false">B5*10</f>
        <v>500</v>
      </c>
      <c r="D5" s="39" t="n">
        <f aca="false">B5*1000</f>
        <v>50000</v>
      </c>
      <c r="E5" s="45" t="b">
        <f aca="false">TRUE()</f>
        <v>1</v>
      </c>
      <c r="F5" s="21" t="s">
        <v>569</v>
      </c>
    </row>
    <row r="7" customFormat="false" ht="15" hidden="false" customHeight="false" outlineLevel="0" collapsed="false">
      <c r="A7" s="3" t="s">
        <v>570</v>
      </c>
    </row>
    <row r="8" customFormat="false" ht="15" hidden="false" customHeight="false" outlineLevel="0" collapsed="false">
      <c r="A8" s="21" t="s">
        <v>571</v>
      </c>
      <c r="B8" s="21" t="s">
        <v>572</v>
      </c>
      <c r="C8" s="21"/>
      <c r="D8" s="21"/>
      <c r="E8" s="21"/>
      <c r="F8" s="21"/>
    </row>
    <row r="9" customFormat="false" ht="15" hidden="false" customHeight="false" outlineLevel="0" collapsed="false">
      <c r="A9" s="21" t="s">
        <v>573</v>
      </c>
      <c r="B9" s="21" t="s">
        <v>574</v>
      </c>
      <c r="C9" s="21"/>
      <c r="D9" s="21"/>
      <c r="E9" s="21"/>
      <c r="F9" s="21"/>
    </row>
    <row r="10" customFormat="false" ht="15" hidden="false" customHeight="false" outlineLevel="0" collapsed="false">
      <c r="A10" s="21" t="s">
        <v>575</v>
      </c>
      <c r="B10" s="21" t="s">
        <v>576</v>
      </c>
      <c r="C10" s="21"/>
      <c r="D10" s="21"/>
      <c r="E10" s="21"/>
      <c r="F10" s="21"/>
    </row>
    <row r="11" customFormat="false" ht="15" hidden="false" customHeight="false" outlineLevel="0" collapsed="false">
      <c r="A11" s="21" t="s">
        <v>577</v>
      </c>
      <c r="B11" s="21" t="s">
        <v>578</v>
      </c>
      <c r="C11" s="21"/>
      <c r="D11" s="21"/>
      <c r="E11" s="21"/>
      <c r="F11" s="21"/>
    </row>
    <row r="12" customFormat="false" ht="15" hidden="false" customHeight="false" outlineLevel="0" collapsed="false">
      <c r="A12" s="21" t="s">
        <v>579</v>
      </c>
      <c r="B12" s="21" t="s">
        <v>580</v>
      </c>
      <c r="C12" s="21"/>
      <c r="D12" s="21"/>
      <c r="E12" s="21"/>
      <c r="F12" s="21"/>
    </row>
  </sheetData>
  <mergeCells count="6">
    <mergeCell ref="A1:F1"/>
    <mergeCell ref="B8:F8"/>
    <mergeCell ref="B9:F9"/>
    <mergeCell ref="B10:F10"/>
    <mergeCell ref="B11:F11"/>
    <mergeCell ref="B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15" t="s">
        <v>581</v>
      </c>
      <c r="B1" s="15"/>
      <c r="C1" s="15"/>
      <c r="D1" s="15"/>
      <c r="E1" s="15"/>
      <c r="F1" s="15"/>
      <c r="G1" s="15"/>
    </row>
    <row r="3" customFormat="false" ht="30" hidden="false" customHeight="true" outlineLevel="0" collapsed="false">
      <c r="A3" s="9" t="s">
        <v>582</v>
      </c>
      <c r="B3" s="9" t="s">
        <v>583</v>
      </c>
      <c r="C3" s="9" t="s">
        <v>30</v>
      </c>
      <c r="D3" s="9" t="s">
        <v>584</v>
      </c>
      <c r="E3" s="9" t="s">
        <v>585</v>
      </c>
      <c r="F3" s="9" t="s">
        <v>586</v>
      </c>
      <c r="G3" s="9" t="s">
        <v>587</v>
      </c>
    </row>
    <row r="4" customFormat="false" ht="15" hidden="false" customHeight="false" outlineLevel="0" collapsed="false">
      <c r="A4" s="16" t="n">
        <v>1</v>
      </c>
      <c r="B4" s="13" t="n">
        <v>1</v>
      </c>
      <c r="C4" s="13" t="n">
        <v>10</v>
      </c>
      <c r="D4" s="51" t="n">
        <f aca="false">B4*C4</f>
        <v>10</v>
      </c>
      <c r="E4" s="52" t="n">
        <f aca="false">D4/D$7</f>
        <v>0.1</v>
      </c>
      <c r="F4" s="51" t="n">
        <f aca="false">D4*BuyFSMult</f>
        <v>750</v>
      </c>
      <c r="G4" s="51" t="n">
        <f aca="false">D4*BuyWheelMult</f>
        <v>500</v>
      </c>
    </row>
    <row r="5" customFormat="false" ht="15" hidden="false" customHeight="false" outlineLevel="0" collapsed="false">
      <c r="A5" s="16" t="n">
        <v>2</v>
      </c>
      <c r="B5" s="13" t="n">
        <v>2</v>
      </c>
      <c r="C5" s="13" t="n">
        <v>10</v>
      </c>
      <c r="D5" s="51" t="n">
        <f aca="false">B5*C5</f>
        <v>20</v>
      </c>
      <c r="E5" s="52" t="n">
        <f aca="false">D5/D$7</f>
        <v>0.2</v>
      </c>
      <c r="F5" s="51" t="n">
        <f aca="false">D5*BuyFSMult</f>
        <v>1500</v>
      </c>
      <c r="G5" s="51" t="n">
        <f aca="false">D5*BuyWheelMult</f>
        <v>1000</v>
      </c>
    </row>
    <row r="6" customFormat="false" ht="15" hidden="false" customHeight="false" outlineLevel="0" collapsed="false">
      <c r="A6" s="16" t="n">
        <v>3</v>
      </c>
      <c r="B6" s="13" t="n">
        <v>5</v>
      </c>
      <c r="C6" s="13" t="n">
        <v>10</v>
      </c>
      <c r="D6" s="51" t="n">
        <f aca="false">B6*C6</f>
        <v>50</v>
      </c>
      <c r="E6" s="52" t="n">
        <f aca="false">D6/D$7</f>
        <v>0.5</v>
      </c>
      <c r="F6" s="51" t="n">
        <f aca="false">D6*BuyFSMult</f>
        <v>3750</v>
      </c>
      <c r="G6" s="51" t="n">
        <f aca="false">D6*BuyWheelMult</f>
        <v>2500</v>
      </c>
    </row>
    <row r="7" customFormat="false" ht="15" hidden="false" customHeight="false" outlineLevel="0" collapsed="false">
      <c r="A7" s="16" t="n">
        <v>4</v>
      </c>
      <c r="B7" s="13" t="n">
        <v>10</v>
      </c>
      <c r="C7" s="13" t="n">
        <v>10</v>
      </c>
      <c r="D7" s="51" t="n">
        <f aca="false">B7*C7</f>
        <v>100</v>
      </c>
      <c r="E7" s="52" t="n">
        <f aca="false">D7/D$7</f>
        <v>1</v>
      </c>
      <c r="F7" s="51" t="n">
        <f aca="false">D7*BuyFSMult</f>
        <v>7500</v>
      </c>
      <c r="G7" s="51" t="n">
        <f aca="false">D7*BuyWheelMult</f>
        <v>5000</v>
      </c>
    </row>
    <row r="8" customFormat="false" ht="15" hidden="false" customHeight="false" outlineLevel="0" collapsed="false">
      <c r="A8" s="16" t="n">
        <v>5</v>
      </c>
      <c r="B8" s="13" t="n">
        <v>20</v>
      </c>
      <c r="C8" s="13" t="n">
        <v>10</v>
      </c>
      <c r="D8" s="51" t="n">
        <f aca="false">B8*C8</f>
        <v>200</v>
      </c>
      <c r="E8" s="52" t="n">
        <f aca="false">D8/D$7</f>
        <v>2</v>
      </c>
      <c r="F8" s="51" t="n">
        <f aca="false">D8*BuyFSMult</f>
        <v>15000</v>
      </c>
      <c r="G8" s="51" t="n">
        <f aca="false">D8*BuyWheelMult</f>
        <v>10000</v>
      </c>
    </row>
    <row r="9" customFormat="false" ht="15" hidden="false" customHeight="false" outlineLevel="0" collapsed="false">
      <c r="A9" s="16" t="n">
        <v>6</v>
      </c>
      <c r="B9" s="13" t="n">
        <v>25</v>
      </c>
      <c r="C9" s="13" t="n">
        <v>10</v>
      </c>
      <c r="D9" s="51" t="n">
        <f aca="false">B9*C9</f>
        <v>250</v>
      </c>
      <c r="E9" s="52" t="n">
        <f aca="false">D9/D$7</f>
        <v>2.5</v>
      </c>
      <c r="F9" s="51" t="n">
        <f aca="false">D9*BuyFSMult</f>
        <v>18750</v>
      </c>
      <c r="G9" s="51" t="n">
        <f aca="false">D9*BuyWheelMult</f>
        <v>12500</v>
      </c>
    </row>
    <row r="10" customFormat="false" ht="15" hidden="false" customHeight="false" outlineLevel="0" collapsed="false">
      <c r="A10" s="16" t="n">
        <v>7</v>
      </c>
      <c r="B10" s="13" t="n">
        <v>50</v>
      </c>
      <c r="C10" s="13" t="n">
        <v>10</v>
      </c>
      <c r="D10" s="51" t="n">
        <f aca="false">B10*C10</f>
        <v>500</v>
      </c>
      <c r="E10" s="52" t="n">
        <f aca="false">D10/D$7</f>
        <v>5</v>
      </c>
      <c r="F10" s="51" t="n">
        <f aca="false">D10*BuyFSMult</f>
        <v>37500</v>
      </c>
      <c r="G10" s="51" t="n">
        <f aca="false">D10*BuyWheelMult</f>
        <v>25000</v>
      </c>
    </row>
    <row r="11" customFormat="false" ht="15" hidden="false" customHeight="false" outlineLevel="0" collapsed="false">
      <c r="A11" s="16" t="n">
        <v>8</v>
      </c>
      <c r="B11" s="13" t="n">
        <v>75</v>
      </c>
      <c r="C11" s="13" t="n">
        <v>10</v>
      </c>
      <c r="D11" s="51" t="n">
        <f aca="false">B11*C11</f>
        <v>750</v>
      </c>
      <c r="E11" s="52" t="n">
        <f aca="false">D11/D$7</f>
        <v>7.5</v>
      </c>
      <c r="F11" s="51" t="n">
        <f aca="false">D11*BuyFSMult</f>
        <v>56250</v>
      </c>
      <c r="G11" s="51" t="n">
        <f aca="false">D11*BuyWheelMult</f>
        <v>37500</v>
      </c>
    </row>
    <row r="12" customFormat="false" ht="15" hidden="false" customHeight="false" outlineLevel="0" collapsed="false">
      <c r="A12" s="16" t="n">
        <v>9</v>
      </c>
      <c r="B12" s="13" t="n">
        <v>100</v>
      </c>
      <c r="C12" s="13" t="n">
        <v>10</v>
      </c>
      <c r="D12" s="51" t="n">
        <f aca="false">B12*C12</f>
        <v>1000</v>
      </c>
      <c r="E12" s="52" t="n">
        <f aca="false">D12/D$7</f>
        <v>10</v>
      </c>
      <c r="F12" s="51" t="n">
        <f aca="false">D12*BuyFSMult</f>
        <v>75000</v>
      </c>
      <c r="G12" s="51" t="n">
        <f aca="false">D12*BuyWheelMult</f>
        <v>50000</v>
      </c>
    </row>
    <row r="14" customFormat="false" ht="15" hidden="false" customHeight="false" outlineLevel="0" collapsed="false">
      <c r="A14" s="40" t="s">
        <v>588</v>
      </c>
      <c r="B14" s="40"/>
      <c r="C14" s="40"/>
      <c r="D14" s="40"/>
      <c r="E14" s="40"/>
      <c r="F14" s="40"/>
      <c r="G14" s="40"/>
    </row>
    <row r="15" customFormat="false" ht="15" hidden="false" customHeight="false" outlineLevel="0" collapsed="false">
      <c r="A15" s="21" t="s">
        <v>191</v>
      </c>
      <c r="B15" s="41" t="n">
        <f aca="false">StartingBalance</f>
        <v>50000</v>
      </c>
      <c r="C15" s="21" t="s">
        <v>589</v>
      </c>
      <c r="D15" s="21"/>
      <c r="E15" s="21"/>
      <c r="F15" s="21"/>
      <c r="G15" s="21"/>
    </row>
    <row r="16" customFormat="false" ht="15" hidden="false" customHeight="false" outlineLevel="0" collapsed="false">
      <c r="A16" s="21" t="s">
        <v>203</v>
      </c>
      <c r="B16" s="41" t="n">
        <f aca="false">BetDefaultLevel</f>
        <v>4</v>
      </c>
      <c r="C16" s="21" t="s">
        <v>590</v>
      </c>
      <c r="D16" s="21"/>
      <c r="E16" s="21"/>
      <c r="F16" s="21"/>
      <c r="G16" s="21"/>
    </row>
    <row r="17" customFormat="false" ht="15" hidden="false" customHeight="false" outlineLevel="0" collapsed="false">
      <c r="A17" s="21" t="s">
        <v>591</v>
      </c>
      <c r="B17" s="36" t="s">
        <v>592</v>
      </c>
      <c r="C17" s="21" t="s">
        <v>593</v>
      </c>
      <c r="D17" s="21"/>
      <c r="E17" s="21"/>
      <c r="F17" s="21"/>
      <c r="G17" s="21"/>
    </row>
    <row r="18" customFormat="false" ht="15" hidden="false" customHeight="false" outlineLevel="0" collapsed="false">
      <c r="A18" s="21" t="s">
        <v>594</v>
      </c>
      <c r="B18" s="36" t="s">
        <v>595</v>
      </c>
      <c r="C18" s="21" t="s">
        <v>596</v>
      </c>
      <c r="D18" s="21"/>
      <c r="E18" s="21"/>
      <c r="F18" s="21"/>
      <c r="G18" s="21"/>
    </row>
    <row r="19" customFormat="false" ht="15" hidden="false" customHeight="false" outlineLevel="0" collapsed="false">
      <c r="A19" s="21" t="s">
        <v>597</v>
      </c>
      <c r="B19" s="36" t="s">
        <v>598</v>
      </c>
      <c r="C19" s="21" t="s">
        <v>599</v>
      </c>
      <c r="D19" s="21"/>
      <c r="E19" s="21"/>
      <c r="F19" s="21"/>
      <c r="G19" s="21"/>
    </row>
    <row r="20" customFormat="false" ht="15" hidden="false" customHeight="false" outlineLevel="0" collapsed="false">
      <c r="A20" s="21" t="s">
        <v>600</v>
      </c>
      <c r="B20" s="36" t="n">
        <v>10</v>
      </c>
      <c r="C20" s="21" t="s">
        <v>601</v>
      </c>
      <c r="D20" s="21"/>
      <c r="E20" s="21"/>
      <c r="F20" s="21"/>
      <c r="G20" s="21"/>
    </row>
    <row r="21" customFormat="false" ht="15" hidden="false" customHeight="false" outlineLevel="0" collapsed="false">
      <c r="A21" s="21" t="s">
        <v>602</v>
      </c>
      <c r="B21" s="36" t="s">
        <v>603</v>
      </c>
      <c r="C21" s="21" t="s">
        <v>604</v>
      </c>
      <c r="D21" s="21"/>
      <c r="E21" s="21"/>
      <c r="F21" s="21"/>
      <c r="G21" s="21"/>
    </row>
    <row r="22" customFormat="false" ht="15" hidden="false" customHeight="false" outlineLevel="0" collapsed="false">
      <c r="A22" s="21" t="s">
        <v>605</v>
      </c>
      <c r="B22" s="41" t="n">
        <f aca="false">RTPTarget</f>
        <v>0.955</v>
      </c>
      <c r="C22" s="21" t="s">
        <v>606</v>
      </c>
      <c r="D22" s="21"/>
      <c r="E22" s="21"/>
      <c r="F22" s="21"/>
      <c r="G22" s="21"/>
    </row>
  </sheetData>
  <mergeCells count="10">
    <mergeCell ref="A1:G1"/>
    <mergeCell ref="A14:G14"/>
    <mergeCell ref="C15:G15"/>
    <mergeCell ref="C16:G16"/>
    <mergeCell ref="C17:G17"/>
    <mergeCell ref="C18:G18"/>
    <mergeCell ref="C19:G19"/>
    <mergeCell ref="C20:G20"/>
    <mergeCell ref="C21:G21"/>
    <mergeCell ref="C22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40"/>
    <col collapsed="false" customWidth="true" hidden="false" outlineLevel="0" max="7" min="7" style="0" width="28"/>
  </cols>
  <sheetData>
    <row r="1" customFormat="false" ht="17.35" hidden="false" customHeight="false" outlineLevel="0" collapsed="false">
      <c r="A1" s="15" t="s">
        <v>607</v>
      </c>
      <c r="B1" s="15"/>
      <c r="C1" s="15"/>
      <c r="D1" s="15"/>
      <c r="E1" s="15"/>
      <c r="F1" s="15"/>
      <c r="G1" s="15"/>
    </row>
    <row r="3" customFormat="false" ht="30" hidden="false" customHeight="true" outlineLevel="0" collapsed="false">
      <c r="A3" s="9" t="s">
        <v>246</v>
      </c>
      <c r="B3" s="9" t="s">
        <v>608</v>
      </c>
      <c r="C3" s="9" t="s">
        <v>609</v>
      </c>
      <c r="D3" s="9" t="s">
        <v>610</v>
      </c>
      <c r="E3" s="9" t="s">
        <v>611</v>
      </c>
      <c r="F3" s="9" t="s">
        <v>612</v>
      </c>
      <c r="G3" s="9" t="s">
        <v>613</v>
      </c>
    </row>
    <row r="4" customFormat="false" ht="15" hidden="false" customHeight="false" outlineLevel="0" collapsed="false">
      <c r="A4" s="21" t="s">
        <v>614</v>
      </c>
      <c r="B4" s="36" t="n">
        <v>0</v>
      </c>
      <c r="C4" s="36" t="n">
        <v>4.99</v>
      </c>
      <c r="D4" s="36" t="n">
        <v>0.5</v>
      </c>
      <c r="E4" s="45" t="b">
        <f aca="false">TRUE()</f>
        <v>1</v>
      </c>
      <c r="F4" s="21" t="s">
        <v>615</v>
      </c>
      <c r="G4" s="21" t="s">
        <v>616</v>
      </c>
    </row>
    <row r="5" customFormat="false" ht="15" hidden="false" customHeight="false" outlineLevel="0" collapsed="false">
      <c r="A5" s="21" t="s">
        <v>617</v>
      </c>
      <c r="B5" s="36" t="n">
        <v>5</v>
      </c>
      <c r="C5" s="36" t="n">
        <v>14.99</v>
      </c>
      <c r="D5" s="36" t="n">
        <v>1.5</v>
      </c>
      <c r="E5" s="45" t="b">
        <f aca="false">TRUE()</f>
        <v>1</v>
      </c>
      <c r="F5" s="21" t="s">
        <v>618</v>
      </c>
      <c r="G5" s="21" t="s">
        <v>619</v>
      </c>
    </row>
    <row r="6" customFormat="false" ht="15" hidden="false" customHeight="false" outlineLevel="0" collapsed="false">
      <c r="A6" s="21" t="s">
        <v>620</v>
      </c>
      <c r="B6" s="36" t="n">
        <v>15</v>
      </c>
      <c r="C6" s="36" t="n">
        <v>29.99</v>
      </c>
      <c r="D6" s="36" t="n">
        <v>3</v>
      </c>
      <c r="E6" s="45" t="b">
        <f aca="false">TRUE()</f>
        <v>1</v>
      </c>
      <c r="F6" s="21" t="s">
        <v>621</v>
      </c>
      <c r="G6" s="21" t="s">
        <v>622</v>
      </c>
    </row>
    <row r="7" customFormat="false" ht="15" hidden="false" customHeight="false" outlineLevel="0" collapsed="false">
      <c r="A7" s="21" t="s">
        <v>623</v>
      </c>
      <c r="B7" s="36" t="n">
        <v>30</v>
      </c>
      <c r="C7" s="36" t="n">
        <v>49.99</v>
      </c>
      <c r="D7" s="36" t="n">
        <v>4.5</v>
      </c>
      <c r="E7" s="45" t="b">
        <f aca="false">TRUE()</f>
        <v>1</v>
      </c>
      <c r="F7" s="21" t="s">
        <v>624</v>
      </c>
      <c r="G7" s="21" t="s">
        <v>625</v>
      </c>
    </row>
    <row r="8" customFormat="false" ht="15" hidden="false" customHeight="false" outlineLevel="0" collapsed="false">
      <c r="A8" s="21" t="s">
        <v>626</v>
      </c>
      <c r="B8" s="36" t="n">
        <v>50</v>
      </c>
      <c r="C8" s="36" t="n">
        <v>999999</v>
      </c>
      <c r="D8" s="36" t="n">
        <v>5</v>
      </c>
      <c r="E8" s="45" t="b">
        <f aca="false">TRUE()</f>
        <v>1</v>
      </c>
      <c r="F8" s="21" t="s">
        <v>627</v>
      </c>
      <c r="G8" s="21" t="s">
        <v>628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30"/>
    <col collapsed="false" customWidth="true" hidden="false" outlineLevel="0" max="7" min="7" style="0" width="32"/>
  </cols>
  <sheetData>
    <row r="1" customFormat="false" ht="17.35" hidden="false" customHeight="false" outlineLevel="0" collapsed="false">
      <c r="A1" s="15" t="s">
        <v>629</v>
      </c>
      <c r="B1" s="15"/>
      <c r="C1" s="15"/>
      <c r="D1" s="15"/>
      <c r="E1" s="15"/>
      <c r="F1" s="15"/>
      <c r="G1" s="15"/>
    </row>
    <row r="2" customFormat="false" ht="15" hidden="false" customHeight="false" outlineLevel="0" collapsed="false">
      <c r="A2" s="2" t="s">
        <v>630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9" t="s">
        <v>86</v>
      </c>
      <c r="B4" s="9" t="s">
        <v>15</v>
      </c>
      <c r="C4" s="9" t="s">
        <v>631</v>
      </c>
      <c r="D4" s="9" t="s">
        <v>632</v>
      </c>
      <c r="E4" s="9" t="s">
        <v>633</v>
      </c>
      <c r="F4" s="9" t="s">
        <v>634</v>
      </c>
      <c r="G4" s="9" t="s">
        <v>253</v>
      </c>
    </row>
    <row r="5" customFormat="false" ht="15" hidden="false" customHeight="false" outlineLevel="0" collapsed="false">
      <c r="A5" s="21" t="s">
        <v>635</v>
      </c>
      <c r="B5" s="21" t="s">
        <v>636</v>
      </c>
      <c r="C5" s="21" t="s">
        <v>637</v>
      </c>
      <c r="D5" s="36" t="n">
        <v>5</v>
      </c>
      <c r="E5" s="21" t="s">
        <v>638</v>
      </c>
      <c r="F5" s="21" t="s">
        <v>639</v>
      </c>
      <c r="G5" s="21" t="s">
        <v>640</v>
      </c>
    </row>
    <row r="6" customFormat="false" ht="15" hidden="false" customHeight="false" outlineLevel="0" collapsed="false">
      <c r="A6" s="21" t="s">
        <v>641</v>
      </c>
      <c r="B6" s="21" t="s">
        <v>642</v>
      </c>
      <c r="C6" s="21" t="s">
        <v>643</v>
      </c>
      <c r="D6" s="36" t="n">
        <v>15</v>
      </c>
      <c r="E6" s="21" t="s">
        <v>638</v>
      </c>
      <c r="F6" s="21" t="s">
        <v>644</v>
      </c>
      <c r="G6" s="21" t="s">
        <v>645</v>
      </c>
    </row>
    <row r="7" customFormat="false" ht="15" hidden="false" customHeight="false" outlineLevel="0" collapsed="false">
      <c r="A7" s="21" t="s">
        <v>646</v>
      </c>
      <c r="B7" s="21" t="s">
        <v>647</v>
      </c>
      <c r="C7" s="21" t="s">
        <v>648</v>
      </c>
      <c r="D7" s="36" t="n">
        <v>5</v>
      </c>
      <c r="E7" s="21" t="s">
        <v>649</v>
      </c>
      <c r="F7" s="21" t="s">
        <v>650</v>
      </c>
      <c r="G7" s="21" t="s">
        <v>651</v>
      </c>
    </row>
    <row r="8" customFormat="false" ht="15" hidden="false" customHeight="false" outlineLevel="0" collapsed="false">
      <c r="A8" s="21" t="s">
        <v>646</v>
      </c>
      <c r="B8" s="21" t="s">
        <v>652</v>
      </c>
      <c r="C8" s="21" t="s">
        <v>653</v>
      </c>
      <c r="D8" s="36" t="n">
        <v>5</v>
      </c>
      <c r="E8" s="21" t="s">
        <v>654</v>
      </c>
      <c r="F8" s="21" t="s">
        <v>644</v>
      </c>
      <c r="G8" s="21" t="s">
        <v>655</v>
      </c>
    </row>
    <row r="9" customFormat="false" ht="15" hidden="false" customHeight="false" outlineLevel="0" collapsed="false">
      <c r="A9" s="21" t="s">
        <v>656</v>
      </c>
      <c r="B9" s="21" t="s">
        <v>657</v>
      </c>
      <c r="C9" s="21" t="s">
        <v>658</v>
      </c>
      <c r="D9" s="36" t="n">
        <v>1</v>
      </c>
      <c r="E9" s="21" t="s">
        <v>659</v>
      </c>
      <c r="F9" s="21" t="s">
        <v>660</v>
      </c>
      <c r="G9" s="21" t="s">
        <v>661</v>
      </c>
    </row>
    <row r="10" customFormat="false" ht="15" hidden="false" customHeight="false" outlineLevel="0" collapsed="false">
      <c r="A10" s="21" t="s">
        <v>656</v>
      </c>
      <c r="B10" s="21" t="s">
        <v>662</v>
      </c>
      <c r="C10" s="21" t="s">
        <v>663</v>
      </c>
      <c r="D10" s="36" t="n">
        <v>4</v>
      </c>
      <c r="E10" s="21" t="s">
        <v>659</v>
      </c>
      <c r="F10" s="21" t="s">
        <v>664</v>
      </c>
      <c r="G10" s="21" t="s">
        <v>665</v>
      </c>
    </row>
    <row r="11" customFormat="false" ht="15" hidden="false" customHeight="false" outlineLevel="0" collapsed="false">
      <c r="A11" s="21" t="s">
        <v>46</v>
      </c>
      <c r="B11" s="21" t="s">
        <v>666</v>
      </c>
      <c r="C11" s="21" t="s">
        <v>667</v>
      </c>
      <c r="D11" s="36" t="n">
        <v>1</v>
      </c>
      <c r="E11" s="21" t="s">
        <v>638</v>
      </c>
      <c r="F11" s="21" t="s">
        <v>668</v>
      </c>
      <c r="G11" s="21" t="s">
        <v>669</v>
      </c>
    </row>
    <row r="12" customFormat="false" ht="15" hidden="false" customHeight="false" outlineLevel="0" collapsed="false">
      <c r="A12" s="21" t="s">
        <v>46</v>
      </c>
      <c r="B12" s="21" t="s">
        <v>670</v>
      </c>
      <c r="C12" s="21" t="s">
        <v>671</v>
      </c>
      <c r="D12" s="36" t="n">
        <v>1</v>
      </c>
      <c r="E12" s="21" t="s">
        <v>672</v>
      </c>
      <c r="F12" s="21" t="s">
        <v>673</v>
      </c>
      <c r="G12" s="21" t="s">
        <v>674</v>
      </c>
    </row>
    <row r="13" customFormat="false" ht="15" hidden="false" customHeight="false" outlineLevel="0" collapsed="false">
      <c r="A13" s="21" t="s">
        <v>46</v>
      </c>
      <c r="B13" s="21" t="s">
        <v>675</v>
      </c>
      <c r="C13" s="21" t="s">
        <v>676</v>
      </c>
      <c r="D13" s="36" t="n">
        <v>2</v>
      </c>
      <c r="E13" s="21" t="s">
        <v>672</v>
      </c>
      <c r="F13" s="21" t="s">
        <v>677</v>
      </c>
      <c r="G13" s="21" t="s">
        <v>678</v>
      </c>
    </row>
    <row r="14" customFormat="false" ht="15" hidden="false" customHeight="false" outlineLevel="0" collapsed="false">
      <c r="A14" s="21" t="s">
        <v>488</v>
      </c>
      <c r="B14" s="21" t="s">
        <v>679</v>
      </c>
      <c r="C14" s="21" t="s">
        <v>680</v>
      </c>
      <c r="D14" s="36" t="n">
        <v>1</v>
      </c>
      <c r="E14" s="21" t="s">
        <v>681</v>
      </c>
      <c r="F14" s="21" t="s">
        <v>682</v>
      </c>
      <c r="G14" s="21" t="s">
        <v>683</v>
      </c>
    </row>
    <row r="15" customFormat="false" ht="15" hidden="false" customHeight="false" outlineLevel="0" collapsed="false">
      <c r="A15" s="21" t="s">
        <v>51</v>
      </c>
      <c r="B15" s="21" t="s">
        <v>684</v>
      </c>
      <c r="C15" s="21" t="s">
        <v>685</v>
      </c>
      <c r="D15" s="36" t="n">
        <v>10</v>
      </c>
      <c r="E15" s="21" t="s">
        <v>686</v>
      </c>
      <c r="F15" s="21" t="s">
        <v>687</v>
      </c>
      <c r="G15" s="21" t="s">
        <v>688</v>
      </c>
    </row>
    <row r="16" customFormat="false" ht="15" hidden="false" customHeight="false" outlineLevel="0" collapsed="false">
      <c r="A16" s="21" t="s">
        <v>55</v>
      </c>
      <c r="B16" s="21" t="s">
        <v>689</v>
      </c>
      <c r="C16" s="21" t="s">
        <v>685</v>
      </c>
      <c r="D16" s="36" t="n">
        <v>15</v>
      </c>
      <c r="E16" s="21" t="s">
        <v>690</v>
      </c>
      <c r="F16" s="21" t="s">
        <v>687</v>
      </c>
      <c r="G16" s="21" t="s">
        <v>691</v>
      </c>
    </row>
    <row r="17" customFormat="false" ht="15" hidden="false" customHeight="false" outlineLevel="0" collapsed="false">
      <c r="A17" s="40" t="s">
        <v>692</v>
      </c>
      <c r="B17" s="40"/>
      <c r="C17" s="40"/>
      <c r="D17" s="40"/>
      <c r="E17" s="40"/>
      <c r="F17" s="40"/>
      <c r="G17" s="40"/>
    </row>
    <row r="18" customFormat="false" ht="15" hidden="false" customHeight="false" outlineLevel="0" collapsed="false">
      <c r="A18" s="21" t="s">
        <v>693</v>
      </c>
      <c r="B18" s="36" t="s">
        <v>694</v>
      </c>
      <c r="C18" s="21" t="s">
        <v>695</v>
      </c>
      <c r="D18" s="21"/>
      <c r="E18" s="21"/>
      <c r="F18" s="21"/>
      <c r="G18" s="21"/>
    </row>
    <row r="19" customFormat="false" ht="15" hidden="false" customHeight="false" outlineLevel="0" collapsed="false">
      <c r="A19" s="21" t="s">
        <v>696</v>
      </c>
      <c r="B19" s="36" t="s">
        <v>697</v>
      </c>
      <c r="C19" s="21" t="s">
        <v>698</v>
      </c>
      <c r="D19" s="21"/>
      <c r="E19" s="21"/>
      <c r="F19" s="21"/>
      <c r="G19" s="21"/>
    </row>
    <row r="20" customFormat="false" ht="15" hidden="false" customHeight="false" outlineLevel="0" collapsed="false">
      <c r="A20" s="21" t="s">
        <v>699</v>
      </c>
      <c r="B20" s="36" t="s">
        <v>700</v>
      </c>
      <c r="C20" s="21" t="s">
        <v>701</v>
      </c>
      <c r="D20" s="21"/>
      <c r="E20" s="21"/>
      <c r="F20" s="21"/>
      <c r="G20" s="21"/>
    </row>
    <row r="21" customFormat="false" ht="15" hidden="false" customHeight="false" outlineLevel="0" collapsed="false">
      <c r="A21" s="21" t="s">
        <v>702</v>
      </c>
      <c r="B21" s="36" t="s">
        <v>703</v>
      </c>
      <c r="C21" s="21" t="s">
        <v>704</v>
      </c>
      <c r="D21" s="21"/>
      <c r="E21" s="21"/>
      <c r="F21" s="21"/>
      <c r="G21" s="21"/>
    </row>
    <row r="22" customFormat="false" ht="15" hidden="false" customHeight="false" outlineLevel="0" collapsed="false">
      <c r="A22" s="21" t="s">
        <v>705</v>
      </c>
      <c r="B22" s="36" t="s">
        <v>706</v>
      </c>
      <c r="C22" s="21" t="s">
        <v>707</v>
      </c>
      <c r="D22" s="21"/>
      <c r="E22" s="21"/>
      <c r="F22" s="21"/>
      <c r="G22" s="21"/>
    </row>
    <row r="24" customFormat="false" ht="15" hidden="false" customHeight="false" outlineLevel="0" collapsed="false">
      <c r="A24" s="40" t="s">
        <v>708</v>
      </c>
      <c r="B24" s="40"/>
      <c r="C24" s="40"/>
      <c r="D24" s="40"/>
      <c r="E24" s="40"/>
      <c r="F24" s="40"/>
      <c r="G24" s="40"/>
    </row>
    <row r="25" customFormat="false" ht="15" hidden="false" customHeight="false" outlineLevel="0" collapsed="false">
      <c r="A25" s="53" t="s">
        <v>709</v>
      </c>
      <c r="B25" s="53"/>
      <c r="C25" s="53"/>
      <c r="D25" s="53"/>
      <c r="E25" s="53"/>
      <c r="F25" s="53"/>
      <c r="G25" s="53"/>
    </row>
    <row r="26" customFormat="false" ht="15" hidden="false" customHeight="false" outlineLevel="0" collapsed="false">
      <c r="A26" s="53" t="s">
        <v>710</v>
      </c>
      <c r="B26" s="53"/>
      <c r="C26" s="53"/>
      <c r="D26" s="53"/>
      <c r="E26" s="53"/>
      <c r="F26" s="53"/>
      <c r="G26" s="53"/>
    </row>
    <row r="27" customFormat="false" ht="15" hidden="false" customHeight="false" outlineLevel="0" collapsed="false">
      <c r="A27" s="53" t="s">
        <v>711</v>
      </c>
      <c r="B27" s="53"/>
      <c r="C27" s="53"/>
      <c r="D27" s="53"/>
      <c r="E27" s="53"/>
      <c r="F27" s="53"/>
      <c r="G27" s="53"/>
    </row>
    <row r="28" customFormat="false" ht="15" hidden="false" customHeight="false" outlineLevel="0" collapsed="false">
      <c r="A28" s="53" t="s">
        <v>712</v>
      </c>
      <c r="B28" s="53"/>
      <c r="C28" s="53"/>
      <c r="D28" s="53"/>
      <c r="E28" s="53"/>
      <c r="F28" s="53"/>
      <c r="G28" s="53"/>
    </row>
    <row r="29" customFormat="false" ht="15" hidden="false" customHeight="false" outlineLevel="0" collapsed="false">
      <c r="A29" s="53" t="s">
        <v>713</v>
      </c>
      <c r="B29" s="53"/>
      <c r="C29" s="53"/>
      <c r="D29" s="53"/>
      <c r="E29" s="53"/>
      <c r="F29" s="53"/>
      <c r="G29" s="53"/>
    </row>
    <row r="30" customFormat="false" ht="15" hidden="false" customHeight="false" outlineLevel="0" collapsed="false">
      <c r="A30" s="53" t="s">
        <v>714</v>
      </c>
      <c r="B30" s="53"/>
      <c r="C30" s="53"/>
      <c r="D30" s="53"/>
      <c r="E30" s="53"/>
      <c r="F30" s="53"/>
      <c r="G30" s="53"/>
    </row>
    <row r="31" customFormat="false" ht="15" hidden="false" customHeight="false" outlineLevel="0" collapsed="false">
      <c r="A31" s="53" t="s">
        <v>715</v>
      </c>
      <c r="B31" s="53"/>
      <c r="C31" s="53"/>
      <c r="D31" s="53"/>
      <c r="E31" s="53"/>
      <c r="F31" s="53"/>
      <c r="G31" s="53"/>
    </row>
  </sheetData>
  <mergeCells count="16">
    <mergeCell ref="A1:G1"/>
    <mergeCell ref="A2:G2"/>
    <mergeCell ref="A17:G17"/>
    <mergeCell ref="C18:G18"/>
    <mergeCell ref="C19:G19"/>
    <mergeCell ref="C20:G20"/>
    <mergeCell ref="C21:G21"/>
    <mergeCell ref="C22:G22"/>
    <mergeCell ref="A24:G24"/>
    <mergeCell ref="A25:G25"/>
    <mergeCell ref="A26:G26"/>
    <mergeCell ref="A27:G27"/>
    <mergeCell ref="A28:G28"/>
    <mergeCell ref="A29:G29"/>
    <mergeCell ref="A30:G30"/>
    <mergeCell ref="A31:G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60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15" t="s">
        <v>716</v>
      </c>
      <c r="B1" s="15"/>
      <c r="C1" s="15"/>
      <c r="D1" s="15"/>
      <c r="E1" s="15"/>
      <c r="F1" s="15"/>
      <c r="G1" s="15"/>
      <c r="H1" s="15"/>
    </row>
    <row r="3" customFormat="false" ht="30" hidden="false" customHeight="true" outlineLevel="0" collapsed="false">
      <c r="A3" s="9" t="s">
        <v>717</v>
      </c>
      <c r="B3" s="9" t="s">
        <v>718</v>
      </c>
      <c r="C3" s="9" t="s">
        <v>14</v>
      </c>
      <c r="D3" s="9" t="s">
        <v>719</v>
      </c>
      <c r="E3" s="9" t="s">
        <v>720</v>
      </c>
      <c r="F3" s="9" t="s">
        <v>721</v>
      </c>
      <c r="G3" s="9" t="s">
        <v>722</v>
      </c>
      <c r="H3" s="9" t="s">
        <v>723</v>
      </c>
    </row>
    <row r="4" customFormat="false" ht="15" hidden="false" customHeight="false" outlineLevel="0" collapsed="false">
      <c r="A4" s="12" t="s">
        <v>724</v>
      </c>
      <c r="B4" s="12" t="s">
        <v>725</v>
      </c>
      <c r="C4" s="12" t="s">
        <v>726</v>
      </c>
      <c r="D4" s="12" t="s">
        <v>727</v>
      </c>
      <c r="E4" s="12" t="s">
        <v>728</v>
      </c>
      <c r="F4" s="12" t="s">
        <v>729</v>
      </c>
      <c r="G4" s="12" t="s">
        <v>730</v>
      </c>
      <c r="H4" s="54" t="b">
        <f aca="false">FALSE()</f>
        <v>0</v>
      </c>
    </row>
    <row r="5" customFormat="false" ht="23.85" hidden="false" customHeight="false" outlineLevel="0" collapsed="false">
      <c r="A5" s="12" t="s">
        <v>731</v>
      </c>
      <c r="B5" s="12" t="s">
        <v>732</v>
      </c>
      <c r="C5" s="12" t="s">
        <v>726</v>
      </c>
      <c r="D5" s="12" t="s">
        <v>733</v>
      </c>
      <c r="E5" s="12" t="s">
        <v>734</v>
      </c>
      <c r="F5" s="12" t="s">
        <v>729</v>
      </c>
      <c r="G5" s="12" t="s">
        <v>730</v>
      </c>
      <c r="H5" s="54" t="b">
        <f aca="false">FALSE()</f>
        <v>0</v>
      </c>
    </row>
    <row r="6" customFormat="false" ht="15" hidden="false" customHeight="false" outlineLevel="0" collapsed="false">
      <c r="A6" s="12" t="s">
        <v>735</v>
      </c>
      <c r="B6" s="12" t="s">
        <v>736</v>
      </c>
      <c r="C6" s="12" t="s">
        <v>726</v>
      </c>
      <c r="D6" s="12" t="s">
        <v>737</v>
      </c>
      <c r="E6" s="12" t="s">
        <v>738</v>
      </c>
      <c r="F6" s="12" t="s">
        <v>739</v>
      </c>
      <c r="G6" s="12" t="s">
        <v>730</v>
      </c>
      <c r="H6" s="54" t="b">
        <f aca="false">FALSE()</f>
        <v>0</v>
      </c>
    </row>
    <row r="7" customFormat="false" ht="23.85" hidden="false" customHeight="false" outlineLevel="0" collapsed="false">
      <c r="A7" s="12" t="s">
        <v>740</v>
      </c>
      <c r="B7" s="12" t="s">
        <v>741</v>
      </c>
      <c r="C7" s="12" t="s">
        <v>726</v>
      </c>
      <c r="D7" s="12" t="s">
        <v>742</v>
      </c>
      <c r="E7" s="12" t="s">
        <v>743</v>
      </c>
      <c r="F7" s="12" t="s">
        <v>739</v>
      </c>
      <c r="G7" s="12" t="s">
        <v>730</v>
      </c>
      <c r="H7" s="54" t="b">
        <f aca="false">FALSE()</f>
        <v>0</v>
      </c>
    </row>
    <row r="8" customFormat="false" ht="15" hidden="false" customHeight="false" outlineLevel="0" collapsed="false">
      <c r="A8" s="12" t="s">
        <v>744</v>
      </c>
      <c r="B8" s="12" t="s">
        <v>745</v>
      </c>
      <c r="C8" s="12" t="s">
        <v>746</v>
      </c>
      <c r="D8" s="12" t="s">
        <v>747</v>
      </c>
      <c r="E8" s="12" t="s">
        <v>748</v>
      </c>
      <c r="F8" s="12" t="s">
        <v>729</v>
      </c>
      <c r="G8" s="12" t="s">
        <v>730</v>
      </c>
      <c r="H8" s="54" t="b">
        <f aca="false">FALSE()</f>
        <v>0</v>
      </c>
    </row>
    <row r="9" customFormat="false" ht="23.85" hidden="false" customHeight="false" outlineLevel="0" collapsed="false">
      <c r="A9" s="12" t="s">
        <v>749</v>
      </c>
      <c r="B9" s="12" t="s">
        <v>750</v>
      </c>
      <c r="C9" s="12" t="s">
        <v>746</v>
      </c>
      <c r="D9" s="12" t="s">
        <v>751</v>
      </c>
      <c r="E9" s="12" t="s">
        <v>752</v>
      </c>
      <c r="F9" s="12" t="s">
        <v>729</v>
      </c>
      <c r="G9" s="12" t="s">
        <v>730</v>
      </c>
      <c r="H9" s="54" t="b">
        <f aca="false">FALSE()</f>
        <v>0</v>
      </c>
    </row>
    <row r="10" customFormat="false" ht="23.85" hidden="false" customHeight="false" outlineLevel="0" collapsed="false">
      <c r="A10" s="12" t="s">
        <v>753</v>
      </c>
      <c r="B10" s="12" t="s">
        <v>754</v>
      </c>
      <c r="C10" s="12" t="s">
        <v>746</v>
      </c>
      <c r="D10" s="12" t="s">
        <v>755</v>
      </c>
      <c r="E10" s="12" t="s">
        <v>756</v>
      </c>
      <c r="F10" s="12" t="s">
        <v>729</v>
      </c>
      <c r="G10" s="12" t="s">
        <v>730</v>
      </c>
      <c r="H10" s="54" t="b">
        <f aca="false">FALSE()</f>
        <v>0</v>
      </c>
    </row>
    <row r="11" customFormat="false" ht="15" hidden="false" customHeight="false" outlineLevel="0" collapsed="false">
      <c r="A11" s="12" t="s">
        <v>757</v>
      </c>
      <c r="B11" s="12" t="s">
        <v>758</v>
      </c>
      <c r="C11" s="12" t="s">
        <v>759</v>
      </c>
      <c r="D11" s="12" t="s">
        <v>760</v>
      </c>
      <c r="E11" s="12" t="s">
        <v>761</v>
      </c>
      <c r="F11" s="12" t="s">
        <v>729</v>
      </c>
      <c r="G11" s="12" t="s">
        <v>730</v>
      </c>
      <c r="H11" s="54" t="b">
        <f aca="false">FALSE()</f>
        <v>0</v>
      </c>
    </row>
    <row r="12" customFormat="false" ht="15" hidden="false" customHeight="false" outlineLevel="0" collapsed="false">
      <c r="A12" s="12" t="s">
        <v>762</v>
      </c>
      <c r="B12" s="12" t="s">
        <v>763</v>
      </c>
      <c r="C12" s="12" t="s">
        <v>726</v>
      </c>
      <c r="D12" s="12" t="s">
        <v>764</v>
      </c>
      <c r="E12" s="12" t="s">
        <v>765</v>
      </c>
      <c r="F12" s="12" t="s">
        <v>739</v>
      </c>
      <c r="G12" s="12" t="s">
        <v>730</v>
      </c>
      <c r="H12" s="54" t="b">
        <f aca="false">FALSE()</f>
        <v>0</v>
      </c>
    </row>
    <row r="13" customFormat="false" ht="23.85" hidden="false" customHeight="false" outlineLevel="0" collapsed="false">
      <c r="A13" s="12" t="s">
        <v>766</v>
      </c>
      <c r="B13" s="12" t="s">
        <v>767</v>
      </c>
      <c r="C13" s="12" t="s">
        <v>759</v>
      </c>
      <c r="D13" s="12" t="s">
        <v>768</v>
      </c>
      <c r="E13" s="12" t="s">
        <v>769</v>
      </c>
      <c r="F13" s="12" t="s">
        <v>729</v>
      </c>
      <c r="G13" s="12" t="s">
        <v>730</v>
      </c>
      <c r="H13" s="54" t="b">
        <f aca="false">FALSE()</f>
        <v>0</v>
      </c>
    </row>
    <row r="14" customFormat="false" ht="15" hidden="false" customHeight="false" outlineLevel="0" collapsed="false">
      <c r="A14" s="12" t="s">
        <v>770</v>
      </c>
      <c r="B14" s="12" t="s">
        <v>771</v>
      </c>
      <c r="C14" s="12" t="s">
        <v>726</v>
      </c>
      <c r="D14" s="12" t="s">
        <v>772</v>
      </c>
      <c r="E14" s="12" t="s">
        <v>773</v>
      </c>
      <c r="F14" s="12" t="s">
        <v>774</v>
      </c>
      <c r="G14" s="12" t="s">
        <v>730</v>
      </c>
      <c r="H14" s="54" t="b">
        <f aca="false">FALSE()</f>
        <v>0</v>
      </c>
    </row>
    <row r="15" customFormat="false" ht="15" hidden="false" customHeight="false" outlineLevel="0" collapsed="false">
      <c r="A15" s="12" t="s">
        <v>775</v>
      </c>
      <c r="B15" s="12" t="s">
        <v>776</v>
      </c>
      <c r="C15" s="12" t="s">
        <v>726</v>
      </c>
      <c r="D15" s="12" t="s">
        <v>777</v>
      </c>
      <c r="E15" s="12" t="s">
        <v>778</v>
      </c>
      <c r="F15" s="12" t="s">
        <v>774</v>
      </c>
      <c r="G15" s="12" t="s">
        <v>730</v>
      </c>
      <c r="H15" s="54" t="b">
        <f aca="false">FALSE()</f>
        <v>0</v>
      </c>
    </row>
    <row r="16" customFormat="false" ht="15" hidden="false" customHeight="false" outlineLevel="0" collapsed="false">
      <c r="A16" s="12" t="s">
        <v>779</v>
      </c>
      <c r="B16" s="12" t="s">
        <v>780</v>
      </c>
      <c r="C16" s="12" t="s">
        <v>726</v>
      </c>
      <c r="D16" s="12" t="s">
        <v>781</v>
      </c>
      <c r="E16" s="12" t="s">
        <v>782</v>
      </c>
      <c r="F16" s="12" t="s">
        <v>774</v>
      </c>
      <c r="G16" s="12" t="s">
        <v>730</v>
      </c>
      <c r="H16" s="54" t="b">
        <f aca="false">FALSE()</f>
        <v>0</v>
      </c>
    </row>
    <row r="17" customFormat="false" ht="15" hidden="false" customHeight="false" outlineLevel="0" collapsed="false">
      <c r="A17" s="12" t="s">
        <v>783</v>
      </c>
      <c r="B17" s="12" t="s">
        <v>784</v>
      </c>
      <c r="C17" s="12" t="s">
        <v>785</v>
      </c>
      <c r="D17" s="12" t="s">
        <v>786</v>
      </c>
      <c r="E17" s="12" t="s">
        <v>787</v>
      </c>
      <c r="F17" s="12" t="s">
        <v>729</v>
      </c>
      <c r="G17" s="12" t="s">
        <v>730</v>
      </c>
      <c r="H17" s="54" t="b">
        <f aca="false">FALSE()</f>
        <v>0</v>
      </c>
    </row>
    <row r="18" customFormat="false" ht="15" hidden="false" customHeight="false" outlineLevel="0" collapsed="false">
      <c r="A18" s="12" t="s">
        <v>788</v>
      </c>
      <c r="B18" s="12" t="s">
        <v>789</v>
      </c>
      <c r="C18" s="12" t="s">
        <v>726</v>
      </c>
      <c r="D18" s="12" t="s">
        <v>790</v>
      </c>
      <c r="E18" s="12" t="s">
        <v>791</v>
      </c>
      <c r="F18" s="12" t="s">
        <v>774</v>
      </c>
      <c r="G18" s="12" t="s">
        <v>730</v>
      </c>
      <c r="H18" s="54" t="b">
        <f aca="false">FALSE()</f>
        <v>0</v>
      </c>
    </row>
    <row r="20" customFormat="false" ht="15" hidden="false" customHeight="false" outlineLevel="0" collapsed="false">
      <c r="A20" s="40" t="s">
        <v>792</v>
      </c>
      <c r="B20" s="40"/>
      <c r="C20" s="40"/>
      <c r="D20" s="40"/>
      <c r="E20" s="40"/>
      <c r="F20" s="40"/>
      <c r="G20" s="40"/>
      <c r="H20" s="40"/>
    </row>
    <row r="21" customFormat="false" ht="15" hidden="false" customHeight="false" outlineLevel="0" collapsed="false">
      <c r="A21" s="21" t="s">
        <v>633</v>
      </c>
      <c r="B21" s="21" t="s">
        <v>793</v>
      </c>
      <c r="C21" s="21"/>
      <c r="D21" s="21"/>
      <c r="E21" s="21"/>
      <c r="F21" s="21"/>
      <c r="G21" s="21"/>
      <c r="H21" s="21"/>
    </row>
    <row r="22" customFormat="false" ht="15" hidden="false" customHeight="false" outlineLevel="0" collapsed="false">
      <c r="A22" s="21" t="s">
        <v>794</v>
      </c>
      <c r="B22" s="21" t="s">
        <v>795</v>
      </c>
      <c r="C22" s="21"/>
      <c r="D22" s="21"/>
      <c r="E22" s="21"/>
      <c r="F22" s="21"/>
      <c r="G22" s="21"/>
      <c r="H22" s="21"/>
    </row>
    <row r="23" customFormat="false" ht="15" hidden="false" customHeight="false" outlineLevel="0" collapsed="false">
      <c r="A23" s="21" t="s">
        <v>796</v>
      </c>
      <c r="B23" s="21" t="s">
        <v>797</v>
      </c>
      <c r="C23" s="21"/>
      <c r="D23" s="21"/>
      <c r="E23" s="21"/>
      <c r="F23" s="21"/>
      <c r="G23" s="21"/>
      <c r="H23" s="21"/>
    </row>
    <row r="24" customFormat="false" ht="15" hidden="false" customHeight="false" outlineLevel="0" collapsed="false">
      <c r="A24" s="21" t="s">
        <v>798</v>
      </c>
      <c r="B24" s="21" t="s">
        <v>799</v>
      </c>
      <c r="C24" s="21"/>
      <c r="D24" s="21"/>
      <c r="E24" s="21"/>
      <c r="F24" s="21"/>
      <c r="G24" s="21"/>
      <c r="H24" s="21"/>
    </row>
    <row r="25" customFormat="false" ht="15" hidden="false" customHeight="false" outlineLevel="0" collapsed="false">
      <c r="A25" s="21" t="s">
        <v>800</v>
      </c>
      <c r="B25" s="21" t="s">
        <v>801</v>
      </c>
      <c r="C25" s="21"/>
      <c r="D25" s="21"/>
      <c r="E25" s="21"/>
      <c r="F25" s="21"/>
      <c r="G25" s="21"/>
      <c r="H25" s="21"/>
    </row>
    <row r="26" customFormat="false" ht="15" hidden="false" customHeight="false" outlineLevel="0" collapsed="false">
      <c r="A26" s="21" t="s">
        <v>802</v>
      </c>
      <c r="B26" s="21" t="s">
        <v>803</v>
      </c>
      <c r="C26" s="21"/>
      <c r="D26" s="21"/>
      <c r="E26" s="21"/>
      <c r="F26" s="21"/>
      <c r="G26" s="21"/>
      <c r="H26" s="21"/>
    </row>
  </sheetData>
  <mergeCells count="8">
    <mergeCell ref="A1:H1"/>
    <mergeCell ref="A20:H20"/>
    <mergeCell ref="B21:H21"/>
    <mergeCell ref="B22:H22"/>
    <mergeCell ref="B23:H23"/>
    <mergeCell ref="B24:H24"/>
    <mergeCell ref="B25:H25"/>
    <mergeCell ref="B26:H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H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0"/>
    <col collapsed="false" customWidth="true" hidden="false" outlineLevel="0" max="8" min="8" style="0" width="32"/>
  </cols>
  <sheetData>
    <row r="1" customFormat="false" ht="17.35" hidden="false" customHeight="false" outlineLevel="0" collapsed="false">
      <c r="A1" s="15" t="s">
        <v>804</v>
      </c>
      <c r="B1" s="15"/>
      <c r="C1" s="15"/>
      <c r="D1" s="15"/>
      <c r="E1" s="15"/>
      <c r="F1" s="15"/>
      <c r="G1" s="15"/>
      <c r="H1" s="15"/>
    </row>
    <row r="3" customFormat="false" ht="30" hidden="false" customHeight="true" outlineLevel="0" collapsed="false">
      <c r="A3" s="9" t="s">
        <v>244</v>
      </c>
      <c r="B3" s="9" t="s">
        <v>14</v>
      </c>
      <c r="C3" s="9" t="s">
        <v>805</v>
      </c>
      <c r="D3" s="9" t="s">
        <v>806</v>
      </c>
      <c r="E3" s="9" t="s">
        <v>807</v>
      </c>
      <c r="F3" s="9" t="s">
        <v>808</v>
      </c>
      <c r="G3" s="9" t="s">
        <v>721</v>
      </c>
      <c r="H3" s="9" t="s">
        <v>253</v>
      </c>
    </row>
    <row r="4" customFormat="false" ht="15" hidden="false" customHeight="false" outlineLevel="0" collapsed="false">
      <c r="A4" s="21" t="s">
        <v>809</v>
      </c>
      <c r="B4" s="21" t="s">
        <v>810</v>
      </c>
      <c r="C4" s="21" t="s">
        <v>811</v>
      </c>
      <c r="D4" s="21" t="s">
        <v>812</v>
      </c>
      <c r="E4" s="55" t="n">
        <v>0.7</v>
      </c>
      <c r="F4" s="45" t="b">
        <f aca="false">TRUE()</f>
        <v>1</v>
      </c>
      <c r="G4" s="36" t="n">
        <v>1</v>
      </c>
      <c r="H4" s="21" t="s">
        <v>813</v>
      </c>
    </row>
    <row r="5" customFormat="false" ht="15" hidden="false" customHeight="false" outlineLevel="0" collapsed="false">
      <c r="A5" s="21" t="s">
        <v>814</v>
      </c>
      <c r="B5" s="21" t="s">
        <v>810</v>
      </c>
      <c r="C5" s="21" t="s">
        <v>815</v>
      </c>
      <c r="D5" s="21" t="s">
        <v>816</v>
      </c>
      <c r="E5" s="55" t="n">
        <v>0.7</v>
      </c>
      <c r="F5" s="45" t="b">
        <f aca="false">TRUE()</f>
        <v>1</v>
      </c>
      <c r="G5" s="36" t="n">
        <v>1</v>
      </c>
      <c r="H5" s="21" t="s">
        <v>817</v>
      </c>
    </row>
    <row r="6" customFormat="false" ht="15" hidden="false" customHeight="false" outlineLevel="0" collapsed="false">
      <c r="A6" s="21" t="s">
        <v>818</v>
      </c>
      <c r="B6" s="21" t="s">
        <v>810</v>
      </c>
      <c r="C6" s="21" t="s">
        <v>819</v>
      </c>
      <c r="D6" s="21" t="s">
        <v>820</v>
      </c>
      <c r="E6" s="55" t="n">
        <v>0.7</v>
      </c>
      <c r="F6" s="45" t="b">
        <f aca="false">TRUE()</f>
        <v>1</v>
      </c>
      <c r="G6" s="36" t="n">
        <v>1</v>
      </c>
      <c r="H6" s="21" t="s">
        <v>821</v>
      </c>
    </row>
    <row r="7" customFormat="false" ht="15" hidden="false" customHeight="false" outlineLevel="0" collapsed="false">
      <c r="A7" s="21" t="s">
        <v>822</v>
      </c>
      <c r="B7" s="21" t="s">
        <v>810</v>
      </c>
      <c r="C7" s="21" t="s">
        <v>823</v>
      </c>
      <c r="D7" s="21" t="s">
        <v>824</v>
      </c>
      <c r="E7" s="55" t="n">
        <v>0.7</v>
      </c>
      <c r="F7" s="45" t="b">
        <f aca="false">TRUE()</f>
        <v>1</v>
      </c>
      <c r="G7" s="36" t="n">
        <v>1</v>
      </c>
      <c r="H7" s="21" t="s">
        <v>825</v>
      </c>
    </row>
    <row r="8" customFormat="false" ht="15" hidden="false" customHeight="false" outlineLevel="0" collapsed="false">
      <c r="A8" s="21" t="s">
        <v>826</v>
      </c>
      <c r="B8" s="21" t="s">
        <v>810</v>
      </c>
      <c r="C8" s="21" t="s">
        <v>132</v>
      </c>
      <c r="D8" s="21" t="s">
        <v>827</v>
      </c>
      <c r="E8" s="55" t="n">
        <v>0.9</v>
      </c>
      <c r="F8" s="45" t="b">
        <f aca="false">FALSE()</f>
        <v>0</v>
      </c>
      <c r="G8" s="36" t="n">
        <v>2</v>
      </c>
      <c r="H8" s="21" t="s">
        <v>828</v>
      </c>
    </row>
    <row r="9" customFormat="false" ht="15" hidden="false" customHeight="false" outlineLevel="0" collapsed="false">
      <c r="A9" s="21" t="s">
        <v>829</v>
      </c>
      <c r="B9" s="21" t="s">
        <v>830</v>
      </c>
      <c r="C9" s="21" t="s">
        <v>831</v>
      </c>
      <c r="D9" s="21" t="s">
        <v>832</v>
      </c>
      <c r="E9" s="55" t="n">
        <v>0.8</v>
      </c>
      <c r="F9" s="45" t="b">
        <f aca="false">FALSE()</f>
        <v>0</v>
      </c>
      <c r="G9" s="36" t="n">
        <v>3</v>
      </c>
      <c r="H9" s="21" t="s">
        <v>833</v>
      </c>
    </row>
    <row r="10" customFormat="false" ht="15" hidden="false" customHeight="false" outlineLevel="0" collapsed="false">
      <c r="A10" s="21" t="s">
        <v>834</v>
      </c>
      <c r="B10" s="21" t="s">
        <v>830</v>
      </c>
      <c r="C10" s="21" t="s">
        <v>835</v>
      </c>
      <c r="D10" s="21" t="s">
        <v>836</v>
      </c>
      <c r="E10" s="55" t="n">
        <v>0.7</v>
      </c>
      <c r="F10" s="45" t="b">
        <f aca="false">FALSE()</f>
        <v>0</v>
      </c>
      <c r="G10" s="36" t="n">
        <v>3</v>
      </c>
      <c r="H10" s="21" t="s">
        <v>837</v>
      </c>
    </row>
    <row r="11" customFormat="false" ht="15" hidden="false" customHeight="false" outlineLevel="0" collapsed="false">
      <c r="A11" s="21" t="s">
        <v>838</v>
      </c>
      <c r="B11" s="21" t="s">
        <v>830</v>
      </c>
      <c r="C11" s="21" t="s">
        <v>839</v>
      </c>
      <c r="D11" s="21" t="s">
        <v>840</v>
      </c>
      <c r="E11" s="55" t="n">
        <v>0.85</v>
      </c>
      <c r="F11" s="45" t="b">
        <f aca="false">TRUE()</f>
        <v>1</v>
      </c>
      <c r="G11" s="36" t="n">
        <v>2</v>
      </c>
      <c r="H11" s="21" t="s">
        <v>841</v>
      </c>
    </row>
    <row r="12" customFormat="false" ht="15" hidden="false" customHeight="false" outlineLevel="0" collapsed="false">
      <c r="A12" s="21" t="s">
        <v>842</v>
      </c>
      <c r="B12" s="21" t="s">
        <v>830</v>
      </c>
      <c r="C12" s="21" t="s">
        <v>843</v>
      </c>
      <c r="D12" s="21" t="s">
        <v>844</v>
      </c>
      <c r="E12" s="55" t="n">
        <v>0.75</v>
      </c>
      <c r="F12" s="45" t="b">
        <f aca="false">FALSE()</f>
        <v>0</v>
      </c>
      <c r="G12" s="36" t="n">
        <v>3</v>
      </c>
      <c r="H12" s="21" t="s">
        <v>845</v>
      </c>
    </row>
    <row r="13" customFormat="false" ht="15" hidden="false" customHeight="false" outlineLevel="0" collapsed="false">
      <c r="A13" s="21" t="s">
        <v>846</v>
      </c>
      <c r="B13" s="21" t="s">
        <v>830</v>
      </c>
      <c r="C13" s="21" t="s">
        <v>847</v>
      </c>
      <c r="D13" s="21" t="s">
        <v>848</v>
      </c>
      <c r="E13" s="55" t="n">
        <v>0.85</v>
      </c>
      <c r="F13" s="45" t="b">
        <f aca="false">FALSE()</f>
        <v>0</v>
      </c>
      <c r="G13" s="36" t="n">
        <v>2</v>
      </c>
      <c r="H13" s="21" t="s">
        <v>849</v>
      </c>
    </row>
    <row r="14" customFormat="false" ht="15" hidden="false" customHeight="false" outlineLevel="0" collapsed="false">
      <c r="A14" s="21" t="s">
        <v>850</v>
      </c>
      <c r="B14" s="21" t="s">
        <v>830</v>
      </c>
      <c r="C14" s="21" t="s">
        <v>851</v>
      </c>
      <c r="D14" s="21" t="s">
        <v>852</v>
      </c>
      <c r="E14" s="55" t="n">
        <v>0.9</v>
      </c>
      <c r="F14" s="45" t="b">
        <f aca="false">FALSE()</f>
        <v>0</v>
      </c>
      <c r="G14" s="36" t="n">
        <v>2</v>
      </c>
      <c r="H14" s="21" t="s">
        <v>853</v>
      </c>
    </row>
    <row r="15" customFormat="false" ht="15" hidden="false" customHeight="false" outlineLevel="0" collapsed="false">
      <c r="A15" s="21" t="s">
        <v>854</v>
      </c>
      <c r="B15" s="21" t="s">
        <v>830</v>
      </c>
      <c r="C15" s="21" t="s">
        <v>855</v>
      </c>
      <c r="D15" s="21" t="s">
        <v>856</v>
      </c>
      <c r="E15" s="55" t="n">
        <v>0.95</v>
      </c>
      <c r="F15" s="45" t="b">
        <f aca="false">FALSE()</f>
        <v>0</v>
      </c>
      <c r="G15" s="36" t="n">
        <v>1</v>
      </c>
      <c r="H15" s="21" t="s">
        <v>625</v>
      </c>
    </row>
    <row r="16" customFormat="false" ht="15" hidden="false" customHeight="false" outlineLevel="0" collapsed="false">
      <c r="A16" s="21" t="s">
        <v>857</v>
      </c>
      <c r="B16" s="21" t="s">
        <v>830</v>
      </c>
      <c r="C16" s="21" t="s">
        <v>858</v>
      </c>
      <c r="D16" s="21" t="s">
        <v>859</v>
      </c>
      <c r="E16" s="55" t="n">
        <v>1</v>
      </c>
      <c r="F16" s="45" t="b">
        <f aca="false">FALSE()</f>
        <v>0</v>
      </c>
      <c r="G16" s="36" t="n">
        <v>1</v>
      </c>
      <c r="H16" s="21" t="s">
        <v>860</v>
      </c>
    </row>
    <row r="17" customFormat="false" ht="15" hidden="false" customHeight="false" outlineLevel="0" collapsed="false">
      <c r="A17" s="21" t="s">
        <v>861</v>
      </c>
      <c r="B17" s="21" t="s">
        <v>862</v>
      </c>
      <c r="C17" s="21" t="s">
        <v>863</v>
      </c>
      <c r="D17" s="21" t="s">
        <v>864</v>
      </c>
      <c r="E17" s="55" t="n">
        <v>0.6</v>
      </c>
      <c r="F17" s="45" t="b">
        <f aca="false">FALSE()</f>
        <v>0</v>
      </c>
      <c r="G17" s="36" t="n">
        <v>4</v>
      </c>
      <c r="H17" s="21" t="s">
        <v>865</v>
      </c>
    </row>
    <row r="18" customFormat="false" ht="15" hidden="false" customHeight="false" outlineLevel="0" collapsed="false">
      <c r="A18" s="21" t="s">
        <v>866</v>
      </c>
      <c r="B18" s="21" t="s">
        <v>862</v>
      </c>
      <c r="C18" s="21" t="s">
        <v>867</v>
      </c>
      <c r="D18" s="21" t="s">
        <v>868</v>
      </c>
      <c r="E18" s="55" t="n">
        <v>0.55</v>
      </c>
      <c r="F18" s="45" t="b">
        <f aca="false">FALSE()</f>
        <v>0</v>
      </c>
      <c r="G18" s="36" t="n">
        <v>4</v>
      </c>
      <c r="H18" s="21" t="s">
        <v>869</v>
      </c>
    </row>
    <row r="19" customFormat="false" ht="15" hidden="false" customHeight="false" outlineLevel="0" collapsed="false">
      <c r="A19" s="21" t="s">
        <v>870</v>
      </c>
      <c r="B19" s="21" t="s">
        <v>862</v>
      </c>
      <c r="C19" s="21" t="s">
        <v>871</v>
      </c>
      <c r="D19" s="21" t="s">
        <v>872</v>
      </c>
      <c r="E19" s="55" t="n">
        <v>0.75</v>
      </c>
      <c r="F19" s="45" t="b">
        <f aca="false">FALSE()</f>
        <v>0</v>
      </c>
      <c r="G19" s="36" t="n">
        <v>3</v>
      </c>
      <c r="H19" s="21" t="s">
        <v>873</v>
      </c>
    </row>
    <row r="20" customFormat="false" ht="15" hidden="false" customHeight="false" outlineLevel="0" collapsed="false">
      <c r="A20" s="21" t="s">
        <v>874</v>
      </c>
      <c r="B20" s="21" t="s">
        <v>862</v>
      </c>
      <c r="C20" s="21" t="s">
        <v>875</v>
      </c>
      <c r="D20" s="21" t="s">
        <v>876</v>
      </c>
      <c r="E20" s="55" t="n">
        <v>0.85</v>
      </c>
      <c r="F20" s="45" t="b">
        <f aca="false">FALSE()</f>
        <v>0</v>
      </c>
      <c r="G20" s="36" t="n">
        <v>2</v>
      </c>
      <c r="H20" s="21" t="s">
        <v>877</v>
      </c>
    </row>
    <row r="21" customFormat="false" ht="15" hidden="false" customHeight="false" outlineLevel="0" collapsed="false">
      <c r="A21" s="21" t="s">
        <v>878</v>
      </c>
      <c r="B21" s="21" t="s">
        <v>862</v>
      </c>
      <c r="C21" s="21" t="s">
        <v>879</v>
      </c>
      <c r="D21" s="21" t="s">
        <v>880</v>
      </c>
      <c r="E21" s="55" t="n">
        <v>0.7</v>
      </c>
      <c r="F21" s="45" t="b">
        <f aca="false">FALSE()</f>
        <v>0</v>
      </c>
      <c r="G21" s="36" t="n">
        <v>3</v>
      </c>
      <c r="H21" s="21" t="s">
        <v>881</v>
      </c>
    </row>
    <row r="22" customFormat="false" ht="15" hidden="false" customHeight="false" outlineLevel="0" collapsed="false">
      <c r="A22" s="21" t="s">
        <v>882</v>
      </c>
      <c r="B22" s="21" t="s">
        <v>862</v>
      </c>
      <c r="C22" s="21" t="s">
        <v>883</v>
      </c>
      <c r="D22" s="21" t="s">
        <v>884</v>
      </c>
      <c r="E22" s="55" t="n">
        <v>0.85</v>
      </c>
      <c r="F22" s="45" t="b">
        <f aca="false">FALSE()</f>
        <v>0</v>
      </c>
      <c r="G22" s="36" t="n">
        <v>2</v>
      </c>
      <c r="H22" s="21" t="s">
        <v>885</v>
      </c>
    </row>
    <row r="23" customFormat="false" ht="15" hidden="false" customHeight="false" outlineLevel="0" collapsed="false">
      <c r="A23" s="21" t="s">
        <v>886</v>
      </c>
      <c r="B23" s="21" t="s">
        <v>862</v>
      </c>
      <c r="C23" s="21" t="s">
        <v>887</v>
      </c>
      <c r="D23" s="21" t="s">
        <v>888</v>
      </c>
      <c r="E23" s="55" t="n">
        <v>0.9</v>
      </c>
      <c r="F23" s="45" t="b">
        <f aca="false">FALSE()</f>
        <v>0</v>
      </c>
      <c r="G23" s="36" t="n">
        <v>2</v>
      </c>
      <c r="H23" s="21" t="s">
        <v>889</v>
      </c>
    </row>
    <row r="24" customFormat="false" ht="15" hidden="false" customHeight="false" outlineLevel="0" collapsed="false">
      <c r="A24" s="21" t="s">
        <v>890</v>
      </c>
      <c r="B24" s="21" t="s">
        <v>862</v>
      </c>
      <c r="C24" s="21" t="s">
        <v>891</v>
      </c>
      <c r="D24" s="21" t="s">
        <v>892</v>
      </c>
      <c r="E24" s="55" t="n">
        <v>0.75</v>
      </c>
      <c r="F24" s="45" t="b">
        <f aca="false">FALSE()</f>
        <v>0</v>
      </c>
      <c r="G24" s="36" t="n">
        <v>3</v>
      </c>
      <c r="H24" s="21" t="s">
        <v>893</v>
      </c>
    </row>
    <row r="25" customFormat="false" ht="15" hidden="false" customHeight="false" outlineLevel="0" collapsed="false">
      <c r="A25" s="21" t="s">
        <v>894</v>
      </c>
      <c r="B25" s="21" t="s">
        <v>862</v>
      </c>
      <c r="C25" s="21" t="s">
        <v>895</v>
      </c>
      <c r="D25" s="21" t="s">
        <v>896</v>
      </c>
      <c r="E25" s="55" t="n">
        <v>0.8</v>
      </c>
      <c r="F25" s="45" t="b">
        <f aca="false">FALSE()</f>
        <v>0</v>
      </c>
      <c r="G25" s="36" t="n">
        <v>2</v>
      </c>
      <c r="H25" s="21" t="s">
        <v>897</v>
      </c>
    </row>
    <row r="26" customFormat="false" ht="15" hidden="false" customHeight="false" outlineLevel="0" collapsed="false">
      <c r="A26" s="21" t="s">
        <v>898</v>
      </c>
      <c r="B26" s="21" t="s">
        <v>862</v>
      </c>
      <c r="C26" s="21" t="s">
        <v>899</v>
      </c>
      <c r="D26" s="21" t="s">
        <v>900</v>
      </c>
      <c r="E26" s="55" t="n">
        <v>1</v>
      </c>
      <c r="F26" s="45" t="b">
        <f aca="false">FALSE()</f>
        <v>0</v>
      </c>
      <c r="G26" s="36" t="n">
        <v>1</v>
      </c>
      <c r="H26" s="21" t="s">
        <v>901</v>
      </c>
    </row>
    <row r="27" customFormat="false" ht="15" hidden="false" customHeight="false" outlineLevel="0" collapsed="false">
      <c r="A27" s="21" t="s">
        <v>902</v>
      </c>
      <c r="B27" s="21" t="s">
        <v>903</v>
      </c>
      <c r="C27" s="21" t="s">
        <v>904</v>
      </c>
      <c r="D27" s="21" t="s">
        <v>905</v>
      </c>
      <c r="E27" s="55" t="n">
        <v>0.95</v>
      </c>
      <c r="F27" s="45" t="b">
        <f aca="false">FALSE()</f>
        <v>0</v>
      </c>
      <c r="G27" s="36" t="n">
        <v>1</v>
      </c>
      <c r="H27" s="21" t="s">
        <v>906</v>
      </c>
    </row>
    <row r="28" customFormat="false" ht="15" hidden="false" customHeight="false" outlineLevel="0" collapsed="false">
      <c r="A28" s="21" t="s">
        <v>907</v>
      </c>
      <c r="B28" s="21" t="s">
        <v>903</v>
      </c>
      <c r="C28" s="21" t="s">
        <v>908</v>
      </c>
      <c r="D28" s="21" t="s">
        <v>909</v>
      </c>
      <c r="E28" s="55" t="n">
        <v>0.9</v>
      </c>
      <c r="F28" s="45" t="b">
        <f aca="false">FALSE()</f>
        <v>0</v>
      </c>
      <c r="G28" s="36" t="n">
        <v>1</v>
      </c>
      <c r="H28" s="21" t="s">
        <v>910</v>
      </c>
    </row>
    <row r="29" customFormat="false" ht="15" hidden="false" customHeight="false" outlineLevel="0" collapsed="false">
      <c r="A29" s="21" t="s">
        <v>911</v>
      </c>
      <c r="B29" s="21" t="s">
        <v>903</v>
      </c>
      <c r="C29" s="21" t="s">
        <v>912</v>
      </c>
      <c r="D29" s="21" t="s">
        <v>751</v>
      </c>
      <c r="E29" s="55" t="n">
        <v>0.85</v>
      </c>
      <c r="F29" s="45" t="b">
        <f aca="false">FALSE()</f>
        <v>0</v>
      </c>
      <c r="G29" s="36" t="n">
        <v>2</v>
      </c>
      <c r="H29" s="21" t="s">
        <v>913</v>
      </c>
    </row>
    <row r="30" customFormat="false" ht="15" hidden="false" customHeight="false" outlineLevel="0" collapsed="false">
      <c r="A30" s="21" t="s">
        <v>914</v>
      </c>
      <c r="B30" s="21" t="s">
        <v>903</v>
      </c>
      <c r="C30" s="21" t="s">
        <v>915</v>
      </c>
      <c r="D30" s="21" t="s">
        <v>916</v>
      </c>
      <c r="E30" s="55" t="n">
        <v>0.85</v>
      </c>
      <c r="F30" s="45" t="b">
        <f aca="false">TRUE()</f>
        <v>1</v>
      </c>
      <c r="G30" s="36" t="n">
        <v>2</v>
      </c>
      <c r="H30" s="21" t="s">
        <v>917</v>
      </c>
    </row>
    <row r="31" customFormat="false" ht="15" hidden="false" customHeight="false" outlineLevel="0" collapsed="false">
      <c r="A31" s="21" t="s">
        <v>918</v>
      </c>
      <c r="B31" s="21" t="s">
        <v>903</v>
      </c>
      <c r="C31" s="21" t="s">
        <v>919</v>
      </c>
      <c r="D31" s="21" t="s">
        <v>920</v>
      </c>
      <c r="E31" s="55" t="n">
        <v>0.65</v>
      </c>
      <c r="F31" s="45" t="b">
        <f aca="false">FALSE()</f>
        <v>0</v>
      </c>
      <c r="G31" s="36" t="n">
        <v>3</v>
      </c>
      <c r="H31" s="21" t="s">
        <v>921</v>
      </c>
    </row>
    <row r="32" customFormat="false" ht="15" hidden="false" customHeight="false" outlineLevel="0" collapsed="false">
      <c r="A32" s="21" t="s">
        <v>922</v>
      </c>
      <c r="B32" s="21" t="s">
        <v>903</v>
      </c>
      <c r="C32" s="21" t="s">
        <v>923</v>
      </c>
      <c r="D32" s="21" t="s">
        <v>924</v>
      </c>
      <c r="E32" s="55" t="n">
        <v>0.9</v>
      </c>
      <c r="F32" s="45" t="b">
        <f aca="false">FALSE()</f>
        <v>0</v>
      </c>
      <c r="G32" s="36" t="n">
        <v>1</v>
      </c>
      <c r="H32" s="21" t="s">
        <v>925</v>
      </c>
    </row>
    <row r="33" customFormat="false" ht="15" hidden="false" customHeight="false" outlineLevel="0" collapsed="false">
      <c r="A33" s="21" t="s">
        <v>926</v>
      </c>
      <c r="B33" s="21" t="s">
        <v>903</v>
      </c>
      <c r="C33" s="21" t="s">
        <v>927</v>
      </c>
      <c r="D33" s="21" t="s">
        <v>928</v>
      </c>
      <c r="E33" s="55" t="n">
        <v>1</v>
      </c>
      <c r="F33" s="45" t="b">
        <f aca="false">FALSE()</f>
        <v>0</v>
      </c>
      <c r="G33" s="36" t="n">
        <v>1</v>
      </c>
      <c r="H33" s="21" t="s">
        <v>929</v>
      </c>
    </row>
    <row r="34" customFormat="false" ht="15" hidden="false" customHeight="false" outlineLevel="0" collapsed="false">
      <c r="A34" s="21" t="s">
        <v>930</v>
      </c>
      <c r="B34" s="21" t="s">
        <v>931</v>
      </c>
      <c r="C34" s="21" t="s">
        <v>932</v>
      </c>
      <c r="D34" s="21" t="s">
        <v>933</v>
      </c>
      <c r="E34" s="55" t="n">
        <v>0.5</v>
      </c>
      <c r="F34" s="45" t="b">
        <f aca="false">FALSE()</f>
        <v>0</v>
      </c>
      <c r="G34" s="36" t="n">
        <v>5</v>
      </c>
      <c r="H34" s="21" t="s">
        <v>934</v>
      </c>
    </row>
    <row r="35" customFormat="false" ht="15" hidden="false" customHeight="false" outlineLevel="0" collapsed="false">
      <c r="A35" s="21" t="s">
        <v>935</v>
      </c>
      <c r="B35" s="21" t="s">
        <v>931</v>
      </c>
      <c r="C35" s="21" t="s">
        <v>936</v>
      </c>
      <c r="D35" s="21" t="s">
        <v>937</v>
      </c>
      <c r="E35" s="55" t="n">
        <v>0.45</v>
      </c>
      <c r="F35" s="45" t="b">
        <f aca="false">FALSE()</f>
        <v>0</v>
      </c>
      <c r="G35" s="36" t="n">
        <v>5</v>
      </c>
      <c r="H35" s="21" t="s">
        <v>938</v>
      </c>
    </row>
    <row r="36" customFormat="false" ht="15" hidden="false" customHeight="false" outlineLevel="0" collapsed="false">
      <c r="A36" s="21" t="s">
        <v>939</v>
      </c>
      <c r="B36" s="21" t="s">
        <v>931</v>
      </c>
      <c r="C36" s="21" t="s">
        <v>940</v>
      </c>
      <c r="D36" s="21" t="s">
        <v>941</v>
      </c>
      <c r="E36" s="55" t="n">
        <v>0.4</v>
      </c>
      <c r="F36" s="45" t="b">
        <f aca="false">FALSE()</f>
        <v>0</v>
      </c>
      <c r="G36" s="36" t="n">
        <v>5</v>
      </c>
      <c r="H36" s="21" t="s">
        <v>942</v>
      </c>
    </row>
    <row r="37" customFormat="false" ht="15" hidden="false" customHeight="false" outlineLevel="0" collapsed="false">
      <c r="A37" s="21" t="s">
        <v>943</v>
      </c>
      <c r="B37" s="21" t="s">
        <v>931</v>
      </c>
      <c r="C37" s="21" t="s">
        <v>944</v>
      </c>
      <c r="D37" s="21" t="s">
        <v>945</v>
      </c>
      <c r="E37" s="55" t="n">
        <v>0.55</v>
      </c>
      <c r="F37" s="45" t="b">
        <f aca="false">FALSE()</f>
        <v>0</v>
      </c>
      <c r="G37" s="36" t="n">
        <v>5</v>
      </c>
      <c r="H37" s="21" t="s">
        <v>845</v>
      </c>
    </row>
    <row r="38" customFormat="false" ht="15" hidden="false" customHeight="false" outlineLevel="0" collapsed="false">
      <c r="A38" s="21" t="s">
        <v>946</v>
      </c>
      <c r="B38" s="21" t="s">
        <v>931</v>
      </c>
      <c r="C38" s="21" t="s">
        <v>947</v>
      </c>
      <c r="D38" s="21" t="s">
        <v>948</v>
      </c>
      <c r="E38" s="55" t="n">
        <v>0.5</v>
      </c>
      <c r="F38" s="45" t="b">
        <f aca="false">FALSE()</f>
        <v>0</v>
      </c>
      <c r="G38" s="36" t="n">
        <v>5</v>
      </c>
      <c r="H38" s="21" t="s">
        <v>949</v>
      </c>
    </row>
    <row r="39" customFormat="false" ht="15" hidden="false" customHeight="false" outlineLevel="0" collapsed="false">
      <c r="A39" s="21" t="s">
        <v>950</v>
      </c>
      <c r="B39" s="21" t="s">
        <v>931</v>
      </c>
      <c r="C39" s="21" t="s">
        <v>951</v>
      </c>
      <c r="D39" s="21" t="s">
        <v>952</v>
      </c>
      <c r="E39" s="55" t="n">
        <v>0.6</v>
      </c>
      <c r="F39" s="45" t="b">
        <f aca="false">FALSE()</f>
        <v>0</v>
      </c>
      <c r="G39" s="36" t="n">
        <v>4</v>
      </c>
      <c r="H39" s="21" t="s">
        <v>953</v>
      </c>
    </row>
    <row r="40" customFormat="false" ht="15" hidden="false" customHeight="false" outlineLevel="0" collapsed="false">
      <c r="A40" s="21" t="s">
        <v>954</v>
      </c>
      <c r="B40" s="21" t="s">
        <v>931</v>
      </c>
      <c r="C40" s="21" t="s">
        <v>955</v>
      </c>
      <c r="D40" s="21" t="s">
        <v>956</v>
      </c>
      <c r="E40" s="55" t="n">
        <v>0.8</v>
      </c>
      <c r="F40" s="45" t="b">
        <f aca="false">FALSE()</f>
        <v>0</v>
      </c>
      <c r="G40" s="36" t="n">
        <v>3</v>
      </c>
      <c r="H40" s="21" t="s">
        <v>957</v>
      </c>
    </row>
    <row r="42" customFormat="false" ht="15" hidden="false" customHeight="false" outlineLevel="0" collapsed="false">
      <c r="A42" s="3" t="s">
        <v>958</v>
      </c>
      <c r="C42" s="24" t="n">
        <f aca="false">COUNTA(C4:C41)</f>
        <v>37</v>
      </c>
      <c r="D42" s="5" t="s">
        <v>959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6" min="5" style="0" width="14"/>
  </cols>
  <sheetData>
    <row r="1" customFormat="false" ht="17.35" hidden="false" customHeight="false" outlineLevel="0" collapsed="false">
      <c r="A1" s="15" t="s">
        <v>960</v>
      </c>
      <c r="B1" s="15"/>
      <c r="C1" s="15"/>
      <c r="D1" s="15"/>
      <c r="E1" s="15"/>
      <c r="F1" s="15"/>
    </row>
    <row r="2" customFormat="false" ht="15" hidden="false" customHeight="false" outlineLevel="0" collapsed="false">
      <c r="A2" s="2" t="s">
        <v>961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9" t="s">
        <v>962</v>
      </c>
      <c r="B4" s="9" t="s">
        <v>963</v>
      </c>
      <c r="C4" s="9" t="s">
        <v>964</v>
      </c>
      <c r="D4" s="9" t="s">
        <v>965</v>
      </c>
      <c r="E4" s="9" t="s">
        <v>966</v>
      </c>
      <c r="F4" s="9" t="s">
        <v>721</v>
      </c>
    </row>
    <row r="5" customFormat="false" ht="15" hidden="false" customHeight="false" outlineLevel="0" collapsed="false">
      <c r="A5" s="56" t="s">
        <v>967</v>
      </c>
      <c r="B5" s="12" t="s">
        <v>968</v>
      </c>
      <c r="C5" s="12" t="s">
        <v>33</v>
      </c>
      <c r="D5" s="57" t="s">
        <v>463</v>
      </c>
      <c r="E5" s="12" t="s">
        <v>969</v>
      </c>
      <c r="F5" s="12" t="s">
        <v>729</v>
      </c>
    </row>
    <row r="6" customFormat="false" ht="15" hidden="false" customHeight="false" outlineLevel="0" collapsed="false">
      <c r="A6" s="56" t="s">
        <v>970</v>
      </c>
      <c r="B6" s="12" t="s">
        <v>971</v>
      </c>
      <c r="C6" s="12" t="s">
        <v>33</v>
      </c>
      <c r="D6" s="57" t="s">
        <v>24</v>
      </c>
      <c r="E6" s="12" t="s">
        <v>969</v>
      </c>
      <c r="F6" s="12" t="s">
        <v>729</v>
      </c>
    </row>
    <row r="7" customFormat="false" ht="15" hidden="false" customHeight="false" outlineLevel="0" collapsed="false">
      <c r="A7" s="56" t="s">
        <v>972</v>
      </c>
      <c r="B7" s="12" t="s">
        <v>973</v>
      </c>
      <c r="C7" s="12" t="s">
        <v>33</v>
      </c>
      <c r="D7" s="57" t="s">
        <v>30</v>
      </c>
      <c r="E7" s="12" t="s">
        <v>969</v>
      </c>
      <c r="F7" s="12" t="s">
        <v>729</v>
      </c>
    </row>
    <row r="8" customFormat="false" ht="15" hidden="false" customHeight="false" outlineLevel="0" collapsed="false">
      <c r="A8" s="56" t="s">
        <v>974</v>
      </c>
      <c r="B8" s="12" t="s">
        <v>975</v>
      </c>
      <c r="C8" s="12" t="s">
        <v>33</v>
      </c>
      <c r="D8" s="57" t="s">
        <v>467</v>
      </c>
      <c r="E8" s="12" t="s">
        <v>969</v>
      </c>
      <c r="F8" s="12" t="s">
        <v>729</v>
      </c>
    </row>
    <row r="9" customFormat="false" ht="15" hidden="false" customHeight="false" outlineLevel="0" collapsed="false">
      <c r="A9" s="56" t="s">
        <v>976</v>
      </c>
      <c r="B9" s="12" t="s">
        <v>977</v>
      </c>
      <c r="C9" s="12" t="s">
        <v>33</v>
      </c>
      <c r="D9" s="57" t="s">
        <v>37</v>
      </c>
      <c r="E9" s="12" t="s">
        <v>969</v>
      </c>
      <c r="F9" s="12" t="s">
        <v>729</v>
      </c>
    </row>
    <row r="10" customFormat="false" ht="15" hidden="false" customHeight="false" outlineLevel="0" collapsed="false">
      <c r="A10" s="56" t="s">
        <v>978</v>
      </c>
      <c r="B10" s="12" t="s">
        <v>979</v>
      </c>
      <c r="C10" s="12" t="s">
        <v>33</v>
      </c>
      <c r="D10" s="57" t="s">
        <v>40</v>
      </c>
      <c r="E10" s="12" t="s">
        <v>969</v>
      </c>
      <c r="F10" s="12" t="s">
        <v>729</v>
      </c>
    </row>
    <row r="11" customFormat="false" ht="15" hidden="false" customHeight="false" outlineLevel="0" collapsed="false">
      <c r="A11" s="56" t="s">
        <v>980</v>
      </c>
      <c r="B11" s="12" t="s">
        <v>981</v>
      </c>
      <c r="C11" s="12" t="s">
        <v>33</v>
      </c>
      <c r="D11" s="57" t="s">
        <v>42</v>
      </c>
      <c r="E11" s="12" t="s">
        <v>969</v>
      </c>
      <c r="F11" s="12" t="s">
        <v>729</v>
      </c>
    </row>
    <row r="12" customFormat="false" ht="15" hidden="false" customHeight="false" outlineLevel="0" collapsed="false">
      <c r="A12" s="56" t="s">
        <v>982</v>
      </c>
      <c r="B12" s="12" t="s">
        <v>983</v>
      </c>
      <c r="C12" s="12" t="s">
        <v>33</v>
      </c>
      <c r="D12" s="57" t="s">
        <v>44</v>
      </c>
      <c r="E12" s="12" t="s">
        <v>969</v>
      </c>
      <c r="F12" s="12" t="s">
        <v>729</v>
      </c>
    </row>
    <row r="13" customFormat="false" ht="15" hidden="false" customHeight="false" outlineLevel="0" collapsed="false">
      <c r="A13" s="56" t="s">
        <v>984</v>
      </c>
      <c r="B13" s="12" t="s">
        <v>985</v>
      </c>
      <c r="C13" s="12" t="s">
        <v>33</v>
      </c>
      <c r="D13" s="57" t="s">
        <v>46</v>
      </c>
      <c r="E13" s="12" t="s">
        <v>969</v>
      </c>
      <c r="F13" s="12" t="s">
        <v>729</v>
      </c>
    </row>
    <row r="14" customFormat="false" ht="15" hidden="false" customHeight="false" outlineLevel="0" collapsed="false">
      <c r="A14" s="56" t="s">
        <v>986</v>
      </c>
      <c r="B14" s="12" t="s">
        <v>987</v>
      </c>
      <c r="C14" s="12" t="s">
        <v>33</v>
      </c>
      <c r="D14" s="57" t="s">
        <v>48</v>
      </c>
      <c r="E14" s="12" t="s">
        <v>969</v>
      </c>
      <c r="F14" s="12" t="s">
        <v>729</v>
      </c>
    </row>
    <row r="15" customFormat="false" ht="15" hidden="false" customHeight="false" outlineLevel="0" collapsed="false">
      <c r="A15" s="56" t="s">
        <v>988</v>
      </c>
      <c r="B15" s="12" t="s">
        <v>989</v>
      </c>
      <c r="C15" s="12" t="s">
        <v>33</v>
      </c>
      <c r="D15" s="57" t="s">
        <v>51</v>
      </c>
      <c r="E15" s="12" t="s">
        <v>990</v>
      </c>
      <c r="F15" s="12" t="s">
        <v>739</v>
      </c>
    </row>
    <row r="16" customFormat="false" ht="15" hidden="false" customHeight="false" outlineLevel="0" collapsed="false">
      <c r="A16" s="56" t="s">
        <v>991</v>
      </c>
      <c r="B16" s="12" t="s">
        <v>992</v>
      </c>
      <c r="C16" s="12" t="s">
        <v>33</v>
      </c>
      <c r="D16" s="57" t="s">
        <v>53</v>
      </c>
      <c r="E16" s="12" t="s">
        <v>990</v>
      </c>
      <c r="F16" s="12" t="s">
        <v>739</v>
      </c>
    </row>
    <row r="17" customFormat="false" ht="15" hidden="false" customHeight="false" outlineLevel="0" collapsed="false">
      <c r="A17" s="56" t="s">
        <v>993</v>
      </c>
      <c r="B17" s="12" t="s">
        <v>994</v>
      </c>
      <c r="C17" s="12" t="s">
        <v>33</v>
      </c>
      <c r="D17" s="57" t="s">
        <v>55</v>
      </c>
      <c r="E17" s="12" t="s">
        <v>990</v>
      </c>
      <c r="F17" s="12" t="s">
        <v>739</v>
      </c>
    </row>
    <row r="18" customFormat="false" ht="15" hidden="false" customHeight="false" outlineLevel="0" collapsed="false">
      <c r="A18" s="56" t="s">
        <v>995</v>
      </c>
      <c r="B18" s="12" t="s">
        <v>996</v>
      </c>
      <c r="C18" s="12" t="s">
        <v>997</v>
      </c>
      <c r="D18" s="57" t="s">
        <v>57</v>
      </c>
      <c r="E18" s="12" t="s">
        <v>969</v>
      </c>
      <c r="F18" s="12" t="s">
        <v>729</v>
      </c>
    </row>
    <row r="19" customFormat="false" ht="15" hidden="false" customHeight="false" outlineLevel="0" collapsed="false">
      <c r="A19" s="56" t="s">
        <v>998</v>
      </c>
      <c r="B19" s="12" t="s">
        <v>999</v>
      </c>
      <c r="C19" s="12" t="s">
        <v>997</v>
      </c>
      <c r="D19" s="57" t="s">
        <v>59</v>
      </c>
      <c r="E19" s="12" t="s">
        <v>969</v>
      </c>
      <c r="F19" s="12" t="s">
        <v>729</v>
      </c>
    </row>
    <row r="20" customFormat="false" ht="15" hidden="false" customHeight="false" outlineLevel="0" collapsed="false">
      <c r="A20" s="56" t="s">
        <v>1000</v>
      </c>
      <c r="B20" s="12" t="s">
        <v>1001</v>
      </c>
      <c r="C20" s="12" t="s">
        <v>997</v>
      </c>
      <c r="D20" s="57" t="s">
        <v>59</v>
      </c>
      <c r="E20" s="12" t="s">
        <v>969</v>
      </c>
      <c r="F20" s="12" t="s">
        <v>729</v>
      </c>
    </row>
    <row r="21" customFormat="false" ht="15" hidden="false" customHeight="false" outlineLevel="0" collapsed="false">
      <c r="A21" s="56" t="s">
        <v>1002</v>
      </c>
      <c r="B21" s="12" t="s">
        <v>1003</v>
      </c>
      <c r="C21" s="12" t="s">
        <v>997</v>
      </c>
      <c r="D21" s="57" t="s">
        <v>61</v>
      </c>
      <c r="E21" s="12" t="s">
        <v>969</v>
      </c>
      <c r="F21" s="12" t="s">
        <v>739</v>
      </c>
    </row>
    <row r="22" customFormat="false" ht="15" hidden="false" customHeight="false" outlineLevel="0" collapsed="false">
      <c r="A22" s="56" t="s">
        <v>1004</v>
      </c>
      <c r="B22" s="12" t="s">
        <v>1005</v>
      </c>
      <c r="C22" s="12" t="s">
        <v>1006</v>
      </c>
      <c r="D22" s="57" t="s">
        <v>66</v>
      </c>
      <c r="E22" s="12" t="s">
        <v>969</v>
      </c>
      <c r="F22" s="12" t="s">
        <v>739</v>
      </c>
    </row>
    <row r="24" customFormat="false" ht="15" hidden="false" customHeight="false" outlineLevel="0" collapsed="false">
      <c r="A24" s="26" t="s">
        <v>1007</v>
      </c>
      <c r="B24" s="28" t="n">
        <f aca="false">COUNTA(A5:A22)</f>
        <v>18</v>
      </c>
      <c r="C24" s="35" t="s">
        <v>1008</v>
      </c>
      <c r="D24" s="27"/>
      <c r="E24" s="27"/>
      <c r="F24" s="27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2026-04-23T15:42:52Z</dcterms:created>
  <dc:creator>openpyxl</dc:creator>
  <dc:description/>
  <dc:language>en-US</dc:language>
  <cp:lastModifiedBy/>
  <dcterms:modified xsi:type="dcterms:W3CDTF">2026-04-23T15:42:52Z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